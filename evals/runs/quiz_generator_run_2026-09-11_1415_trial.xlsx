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55ea46e36951c6/Desktop/Python/Braintuitive/evals/runs/"/>
    </mc:Choice>
  </mc:AlternateContent>
  <xr:revisionPtr revIDLastSave="6" documentId="13_ncr:1_{73FA5F70-0179-42D7-B062-6F6E19788B08}" xr6:coauthVersionLast="47" xr6:coauthVersionMax="47" xr10:uidLastSave="{61D90822-9243-48A4-95DA-25E11C01D087}"/>
  <bookViews>
    <workbookView xWindow="-108" yWindow="-108" windowWidth="23256" windowHeight="12456" xr2:uid="{00000000-000D-0000-FFFF-FFFF00000000}"/>
  </bookViews>
  <sheets>
    <sheet name="Summary" sheetId="1" r:id="rId1"/>
    <sheet name="Results" sheetId="2" r:id="rId2"/>
    <sheet name="Cases" sheetId="3" r:id="rId3"/>
  </sheets>
  <definedNames>
    <definedName name="_xlnm._FilterDatabase" localSheetId="2" hidden="1">Cases!$A$1:$W$2</definedName>
    <definedName name="_xlnm._FilterDatabase" localSheetId="1" hidden="1">Results!$A$1:$AA$6</definedName>
  </definedNames>
  <calcPr calcId="191029"/>
</workbook>
</file>

<file path=xl/calcChain.xml><?xml version="1.0" encoding="utf-8"?>
<calcChain xmlns="http://schemas.openxmlformats.org/spreadsheetml/2006/main">
  <c r="N2" i="3" l="1"/>
  <c r="K2" i="3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B31" i="1"/>
  <c r="B30" i="1"/>
  <c r="D30" i="1" s="1"/>
  <c r="D29" i="1"/>
  <c r="B29" i="1"/>
  <c r="B28" i="1"/>
  <c r="D28" i="1" s="1"/>
  <c r="B27" i="1"/>
  <c r="D27" i="1" s="1"/>
  <c r="B26" i="1"/>
  <c r="D26" i="1" s="1"/>
  <c r="B25" i="1"/>
  <c r="D25" i="1" s="1"/>
  <c r="B24" i="1"/>
  <c r="D24" i="1" s="1"/>
  <c r="E42" i="1" l="1"/>
  <c r="E35" i="1"/>
  <c r="E38" i="1"/>
  <c r="E41" i="1"/>
  <c r="E40" i="1"/>
  <c r="E39" i="1"/>
  <c r="E37" i="1"/>
  <c r="E36" i="1"/>
</calcChain>
</file>

<file path=xl/sharedStrings.xml><?xml version="1.0" encoding="utf-8"?>
<sst xmlns="http://schemas.openxmlformats.org/spreadsheetml/2006/main" count="248" uniqueCount="152">
  <si>
    <t>Quiz Generator eval: 2026-09-11_1415_trial</t>
  </si>
  <si>
    <t>How to use this file</t>
  </si>
  <si>
    <t>1. Open the Results sheet: one row per question the AI wrote.</t>
  </si>
  <si>
    <t>2. Fill in the yellow Y/N columns for every question. The Rubric sheet in the golden dataset explains each check.</t>
  </si>
  <si>
    <t>3. Come back here: 'Your grades' fills itself in as you grade.</t>
  </si>
  <si>
    <t>4. Take a screenshot of this sheet as your proof of evals.</t>
  </si>
  <si>
    <t>Run details</t>
  </si>
  <si>
    <t>Run</t>
  </si>
  <si>
    <t>2026-09-11_1415_trial</t>
  </si>
  <si>
    <t>Date</t>
  </si>
  <si>
    <t>11 Sep 2026, 14:15</t>
  </si>
  <si>
    <t>Golden dataset</t>
  </si>
  <si>
    <t>quiz_generator_golden_v1.xlsx</t>
  </si>
  <si>
    <t>Rows run</t>
  </si>
  <si>
    <t>TC004</t>
  </si>
  <si>
    <t>Questions to grade</t>
  </si>
  <si>
    <t>5</t>
  </si>
  <si>
    <t>Questions asked per row</t>
  </si>
  <si>
    <t>AI model</t>
  </si>
  <si>
    <t>Qwen/Qwen3-235B-A22B-Instruct-2507</t>
  </si>
  <si>
    <t>Answer checker</t>
  </si>
  <si>
    <t>on: a second AI re-solves every question without seeing the answer</t>
  </si>
  <si>
    <t>Curriculum</t>
  </si>
  <si>
    <t>des2@123.com (namespace math-grade6-ud58f81f0d50b)</t>
  </si>
  <si>
    <t>Database</t>
  </si>
  <si>
    <t>a temporary copy; the real database was not changed</t>
  </si>
  <si>
    <t>Time taken</t>
  </si>
  <si>
    <t>0.4 minutes</t>
  </si>
  <si>
    <t>Automatic numbers (measured by the script)</t>
  </si>
  <si>
    <t>Metric</t>
  </si>
  <si>
    <t>Score</t>
  </si>
  <si>
    <t>Target</t>
  </si>
  <si>
    <t>Result</t>
  </si>
  <si>
    <t>How it is worked out</t>
  </si>
  <si>
    <t>Completion</t>
  </si>
  <si>
    <t>Rows that returned every question they asked for (edge rows left out).</t>
  </si>
  <si>
    <t>Format pass rate</t>
  </si>
  <si>
    <t>Of every question the AI drafted, the share that passed the format check first time.</t>
  </si>
  <si>
    <t>Checker agreement</t>
  </si>
  <si>
    <t>Of every question checked, the share the independent checker solved to the same answer.</t>
  </si>
  <si>
    <t>Average attempts</t>
  </si>
  <si>
    <t>Rounds of writing the agent needed per row. More rounds cost more.</t>
  </si>
  <si>
    <t>Worst letter balance</t>
  </si>
  <si>
    <t>The largest share of one answer letter in any row. High means guessable.</t>
  </si>
  <si>
    <t>True/false share</t>
  </si>
  <si>
    <t>True/false questions among all questions (the agent allows at most 3 in 10).</t>
  </si>
  <si>
    <t>Bad input handled</t>
  </si>
  <si>
    <t>Edge rows (like a topic that doesn't exist) that failed clearly, as they should.</t>
  </si>
  <si>
    <t>Average seconds per row</t>
  </si>
  <si>
    <t>record only</t>
  </si>
  <si>
    <t>Time per row, including the checker. Recorded, no target.</t>
  </si>
  <si>
    <t>Your grades (fill in the Results sheet)</t>
  </si>
  <si>
    <t>Check</t>
  </si>
  <si>
    <t>Graded (of 5)</t>
  </si>
  <si>
    <t>Correct key</t>
  </si>
  <si>
    <t>One right answer</t>
  </si>
  <si>
    <t>On topic</t>
  </si>
  <si>
    <t>Right level</t>
  </si>
  <si>
    <t>Good wrong answers</t>
  </si>
  <si>
    <t>Good explanation</t>
  </si>
  <si>
    <t>Good hint</t>
  </si>
  <si>
    <t>Wrong keys the checker missed</t>
  </si>
  <si>
    <t>A wrong key the checker agreed with is a mistake the automatic checker missed: it shows whether the checker can be trusted alone.</t>
  </si>
  <si>
    <t>case_id</t>
  </si>
  <si>
    <t>topic</t>
  </si>
  <si>
    <t>level</t>
  </si>
  <si>
    <t>q#</t>
  </si>
  <si>
    <t>type</t>
  </si>
  <si>
    <t>question</t>
  </si>
  <si>
    <t>A</t>
  </si>
  <si>
    <t>B</t>
  </si>
  <si>
    <t>C</t>
  </si>
  <si>
    <t>D</t>
  </si>
  <si>
    <t>marked answer</t>
  </si>
  <si>
    <t>explanation</t>
  </si>
  <si>
    <t>hint</t>
  </si>
  <si>
    <t>checker verdict</t>
  </si>
  <si>
    <t>checker's answer</t>
  </si>
  <si>
    <t>your comments</t>
  </si>
  <si>
    <t>learning objective</t>
  </si>
  <si>
    <t>a good question looks like</t>
  </si>
  <si>
    <t>must NOT include</t>
  </si>
  <si>
    <t>skill tag</t>
  </si>
  <si>
    <t>1.2</t>
  </si>
  <si>
    <t>Easy</t>
  </si>
  <si>
    <t>Multiple choice</t>
  </si>
  <si>
    <t>What is the value of -5 + 9?</t>
  </si>
  <si>
    <t>-4</t>
  </si>
  <si>
    <t>14</t>
  </si>
  <si>
    <t>4</t>
  </si>
  <si>
    <t>-14</t>
  </si>
  <si>
    <t>C) 4</t>
  </si>
  <si>
    <t>You are adding a negative and a positive integer. Start at -5 on the number line and move 9 units to the right. You land on 4.</t>
  </si>
  <si>
    <t>Use a number line: start at -5 and move right for positive 9.</t>
  </si>
  <si>
    <t>agreed</t>
  </si>
  <si>
    <t>Fluently add, subtract, multiply and divide integers.</t>
  </si>
  <si>
    <t>One operation with negative integers, small numbers.</t>
  </si>
  <si>
    <t>fractions or decimals (that's 1.5); exponents or roots (1.7)</t>
  </si>
  <si>
    <t>add_integers</t>
  </si>
  <si>
    <t>What is the result of 7 - (-3)?</t>
  </si>
  <si>
    <t>10</t>
  </si>
  <si>
    <t>-10</t>
  </si>
  <si>
    <t>A) 10</t>
  </si>
  <si>
    <t>Subtracting a negative is the same as adding. So 7 - (-3) becomes 7 + 3, which equals 10.</t>
  </si>
  <si>
    <t>Remember: subtracting a negative number turns into addition.</t>
  </si>
  <si>
    <t>subtract_integers</t>
  </si>
  <si>
    <t>True/False</t>
  </si>
  <si>
    <t>The product of -6 and 4 is -24.</t>
  </si>
  <si>
    <t>True</t>
  </si>
  <si>
    <t>False</t>
  </si>
  <si>
    <t>A) True</t>
  </si>
  <si>
    <t>You multiply the numbers: 6 × 4 = 24. Since one number is negative and the other is positive, the product is negative. So -6 × 4 = -24.</t>
  </si>
  <si>
    <t>A negative times a positive equals a negative.</t>
  </si>
  <si>
    <t>multiply_integers</t>
  </si>
  <si>
    <t>What is -15 divided by -3?</t>
  </si>
  <si>
    <t>-5</t>
  </si>
  <si>
    <t>3</t>
  </si>
  <si>
    <t>-3</t>
  </si>
  <si>
    <t>B) 5</t>
  </si>
  <si>
    <t>You divide 15 by 3 to get 5. Since both numbers are negative, the result is positive. So -15 ÷ (-3) = 5.</t>
  </si>
  <si>
    <t>Negative divided by negative equals positive.</t>
  </si>
  <si>
    <t>divide_integers</t>
  </si>
  <si>
    <t>What is the sum of -8 and -3?</t>
  </si>
  <si>
    <t>11</t>
  </si>
  <si>
    <t>-11</t>
  </si>
  <si>
    <t>D) -11</t>
  </si>
  <si>
    <t>You are adding two negative numbers. Add their absolute values (8 + 3 = 11) and keep the negative sign. So -8 + (-3) = -11.</t>
  </si>
  <si>
    <t>When adding two negatives, add their sizes and keep the negative sign.</t>
  </si>
  <si>
    <t>kind</t>
  </si>
  <si>
    <t>status</t>
  </si>
  <si>
    <t>asked</t>
  </si>
  <si>
    <t>returned</t>
  </si>
  <si>
    <t>complete?</t>
  </si>
  <si>
    <t>drafted by AI</t>
  </si>
  <si>
    <t>passed format check</t>
  </si>
  <si>
    <t>format pass rate</t>
  </si>
  <si>
    <t>checked by checker</t>
  </si>
  <si>
    <t>checker agreed</t>
  </si>
  <si>
    <t>checker agreement</t>
  </si>
  <si>
    <t>rejected by checker</t>
  </si>
  <si>
    <t>attempts</t>
  </si>
  <si>
    <t>seconds</t>
  </si>
  <si>
    <t>letter balance</t>
  </si>
  <si>
    <t>true/false</t>
  </si>
  <si>
    <t>retrieval score</t>
  </si>
  <si>
    <t>expected behaviour</t>
  </si>
  <si>
    <t>behaviour met?</t>
  </si>
  <si>
    <t>warnings or error</t>
  </si>
  <si>
    <t>normal</t>
  </si>
  <si>
    <t>ok</t>
  </si>
  <si>
    <t>Y</t>
  </si>
  <si>
    <t>5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</si>
</sst>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1C735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C7350"/>
        <bgColor indexed="64"/>
      </patternFill>
    </fill>
    <fill>
      <patternFill patternType="solid">
        <fgColor rgb="FFEAF4EE"/>
        <bgColor indexed="64"/>
      </patternFill>
    </fill>
    <fill>
      <patternFill patternType="solid">
        <fgColor rgb="FFFFFBE6"/>
        <bgColor indexed="64"/>
      </patternFill>
    </fill>
  </fills>
  <borders count="2">
    <border>
      <left/>
      <right/>
      <top/>
      <bottom/>
      <diagonal/>
    </border>
    <border>
      <left style="thin">
        <color rgb="FFD0D7D3"/>
      </left>
      <right style="thin">
        <color rgb="FFD0D7D3"/>
      </right>
      <top style="thin">
        <color rgb="FFD0D7D3"/>
      </top>
      <bottom style="thin">
        <color rgb="FFD0D7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font>
        <b/>
        <color rgb="FFB42318"/>
      </font>
      <fill>
        <patternFill patternType="solid">
          <bgColor rgb="FFFDE4E1"/>
        </patternFill>
      </fill>
    </dxf>
    <dxf>
      <font>
        <b/>
        <color rgb="FF1C7350"/>
      </font>
      <fill>
        <patternFill patternType="solid">
          <bgColor rgb="FFDFF3E6"/>
        </patternFill>
      </fill>
    </dxf>
    <dxf>
      <font>
        <b/>
        <color rgb="FFB42318"/>
      </font>
      <fill>
        <patternFill patternType="solid">
          <bgColor rgb="FFFDE4E1"/>
        </patternFill>
      </fill>
    </dxf>
    <dxf>
      <font>
        <b/>
        <color rgb="FF1C7350"/>
      </font>
      <fill>
        <patternFill patternType="solid">
          <bgColor rgb="FFDFF3E6"/>
        </patternFill>
      </fill>
    </dxf>
    <dxf>
      <font>
        <b/>
        <color rgb="FFB42318"/>
      </font>
      <fill>
        <patternFill patternType="solid">
          <bgColor rgb="FFFDE4E1"/>
        </patternFill>
      </fill>
    </dxf>
    <dxf>
      <font>
        <b/>
        <color rgb="FF1C7350"/>
      </font>
      <fill>
        <patternFill patternType="solid">
          <bgColor rgb="FFDFF3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Your grades against their targets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Summary!$D$34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Summary!$A$35:$B$41</c:f>
              <c:multiLvlStrCache>
                <c:ptCount val="7"/>
                <c:lvl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</c:lvl>
                <c:lvl>
                  <c:pt idx="0">
                    <c:v>Correct key</c:v>
                  </c:pt>
                  <c:pt idx="1">
                    <c:v>One right answer</c:v>
                  </c:pt>
                  <c:pt idx="2">
                    <c:v>On topic</c:v>
                  </c:pt>
                  <c:pt idx="3">
                    <c:v>Right level</c:v>
                  </c:pt>
                  <c:pt idx="4">
                    <c:v>Good wrong answers</c:v>
                  </c:pt>
                  <c:pt idx="5">
                    <c:v>Good explanation</c:v>
                  </c:pt>
                  <c:pt idx="6">
                    <c:v>Good hint</c:v>
                  </c:pt>
                </c:lvl>
              </c:multiLvlStrCache>
            </c:multiLvlStrRef>
          </c:cat>
          <c:val>
            <c:numRef>
              <c:f>Summary!$D$35:$D$41</c:f>
              <c:numCache>
                <c:formatCode>0%</c:formatCode>
                <c:ptCount val="7"/>
                <c:pt idx="0">
                  <c:v>0.98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5-42C8-B569-9A5BA0A48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7223040"/>
        <c:axId val="549683920"/>
      </c:barChart>
      <c:catAx>
        <c:axId val="92722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683920"/>
        <c:crosses val="autoZero"/>
        <c:auto val="1"/>
        <c:lblAlgn val="ctr"/>
        <c:lblOffset val="100"/>
        <c:noMultiLvlLbl val="0"/>
      </c:catAx>
      <c:valAx>
        <c:axId val="54968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2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4</xdr:col>
      <xdr:colOff>2174240</xdr:colOff>
      <xdr:row>65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CCE88-F5B1-5FB6-5096-D86B1D09B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25" workbookViewId="0"/>
  </sheetViews>
  <sheetFormatPr defaultRowHeight="14.4" x14ac:dyDescent="0.3"/>
  <cols>
    <col min="1" max="1" width="34" customWidth="1"/>
    <col min="2" max="2" width="12" customWidth="1"/>
    <col min="3" max="3" width="14" customWidth="1"/>
    <col min="4" max="4" width="12" customWidth="1"/>
    <col min="5" max="5" width="60" customWidth="1"/>
  </cols>
  <sheetData>
    <row r="1" spans="1:2" ht="21" x14ac:dyDescent="0.4">
      <c r="A1" s="3" t="s">
        <v>0</v>
      </c>
    </row>
    <row r="3" spans="1:2" x14ac:dyDescent="0.3">
      <c r="A3" s="5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9" spans="1:2" x14ac:dyDescent="0.3">
      <c r="A9" s="5" t="s">
        <v>6</v>
      </c>
    </row>
    <row r="10" spans="1:2" x14ac:dyDescent="0.3">
      <c r="A10" s="4" t="s">
        <v>7</v>
      </c>
      <c r="B10" t="s">
        <v>8</v>
      </c>
    </row>
    <row r="11" spans="1:2" x14ac:dyDescent="0.3">
      <c r="A11" s="4" t="s">
        <v>9</v>
      </c>
      <c r="B11" t="s">
        <v>10</v>
      </c>
    </row>
    <row r="12" spans="1:2" x14ac:dyDescent="0.3">
      <c r="A12" s="4" t="s">
        <v>11</v>
      </c>
      <c r="B12" t="s">
        <v>12</v>
      </c>
    </row>
    <row r="13" spans="1:2" x14ac:dyDescent="0.3">
      <c r="A13" s="4" t="s">
        <v>13</v>
      </c>
      <c r="B13" t="s">
        <v>14</v>
      </c>
    </row>
    <row r="14" spans="1:2" x14ac:dyDescent="0.3">
      <c r="A14" s="4" t="s">
        <v>15</v>
      </c>
      <c r="B14" t="s">
        <v>16</v>
      </c>
    </row>
    <row r="15" spans="1:2" x14ac:dyDescent="0.3">
      <c r="A15" s="4" t="s">
        <v>17</v>
      </c>
      <c r="B15" t="s">
        <v>16</v>
      </c>
    </row>
    <row r="16" spans="1:2" x14ac:dyDescent="0.3">
      <c r="A16" s="4" t="s">
        <v>18</v>
      </c>
      <c r="B16" t="s">
        <v>19</v>
      </c>
    </row>
    <row r="17" spans="1:5" x14ac:dyDescent="0.3">
      <c r="A17" s="4" t="s">
        <v>20</v>
      </c>
      <c r="B17" t="s">
        <v>21</v>
      </c>
    </row>
    <row r="18" spans="1:5" x14ac:dyDescent="0.3">
      <c r="A18" s="4" t="s">
        <v>22</v>
      </c>
      <c r="B18" t="s">
        <v>23</v>
      </c>
    </row>
    <row r="19" spans="1:5" x14ac:dyDescent="0.3">
      <c r="A19" s="4" t="s">
        <v>24</v>
      </c>
      <c r="B19" t="s">
        <v>25</v>
      </c>
    </row>
    <row r="20" spans="1:5" x14ac:dyDescent="0.3">
      <c r="A20" s="4" t="s">
        <v>26</v>
      </c>
      <c r="B20" t="s">
        <v>27</v>
      </c>
    </row>
    <row r="22" spans="1:5" ht="28.8" x14ac:dyDescent="0.3">
      <c r="A22" s="5" t="s">
        <v>28</v>
      </c>
    </row>
    <row r="23" spans="1:5" x14ac:dyDescent="0.3">
      <c r="A23" s="1" t="s">
        <v>29</v>
      </c>
      <c r="B23" s="1" t="s">
        <v>30</v>
      </c>
      <c r="C23" s="1" t="s">
        <v>31</v>
      </c>
      <c r="D23" s="1" t="s">
        <v>32</v>
      </c>
      <c r="E23" s="1" t="s">
        <v>33</v>
      </c>
    </row>
    <row r="24" spans="1:5" x14ac:dyDescent="0.3">
      <c r="A24" s="4" t="s">
        <v>34</v>
      </c>
      <c r="B24" s="7">
        <f>IFERROR(COUNTIFS(Cases!$D$2:$D$2,"normal",Cases!$H$2:$H$2,"Y")/COUNTIF(Cases!$D$2:$D$2,"normal"),"")</f>
        <v>1</v>
      </c>
      <c r="C24" s="7">
        <v>1</v>
      </c>
      <c r="D24" s="2" t="str">
        <f>IF(B24="","",IF(B24&gt;=C24,"PASS","FAIL"))</f>
        <v>PASS</v>
      </c>
      <c r="E24" s="2" t="s">
        <v>35</v>
      </c>
    </row>
    <row r="25" spans="1:5" ht="28.8" x14ac:dyDescent="0.3">
      <c r="A25" s="4" t="s">
        <v>36</v>
      </c>
      <c r="B25" s="7">
        <f>IFERROR(SUM(Cases!$J$2:$J$2)/SUM(Cases!$I$2:$I$2),"")</f>
        <v>1</v>
      </c>
      <c r="C25" s="7">
        <v>0.9</v>
      </c>
      <c r="D25" s="2" t="str">
        <f>IF(B25="","",IF(B25&gt;=C25,"PASS","FAIL"))</f>
        <v>PASS</v>
      </c>
      <c r="E25" s="2" t="s">
        <v>37</v>
      </c>
    </row>
    <row r="26" spans="1:5" ht="28.8" x14ac:dyDescent="0.3">
      <c r="A26" s="4" t="s">
        <v>38</v>
      </c>
      <c r="B26" s="7">
        <f>IFERROR(SUM(Cases!$M$2:$M$2)/SUM(Cases!$L$2:$L$2),"")</f>
        <v>1</v>
      </c>
      <c r="C26" s="7">
        <v>0.9</v>
      </c>
      <c r="D26" s="2" t="str">
        <f>IF(B26="","",IF(B26&gt;=C26,"PASS","FAIL"))</f>
        <v>PASS</v>
      </c>
      <c r="E26" s="2" t="s">
        <v>39</v>
      </c>
    </row>
    <row r="27" spans="1:5" x14ac:dyDescent="0.3">
      <c r="A27" s="4" t="s">
        <v>40</v>
      </c>
      <c r="B27" s="8">
        <f>IFERROR(AVERAGEIF(Cases!$D$2:$D$2,"normal",Cases!$P$2:$P$2),"")</f>
        <v>1</v>
      </c>
      <c r="C27" s="8">
        <v>3</v>
      </c>
      <c r="D27" s="2" t="str">
        <f>IF(B27="","",IF(B27&lt;=C27,"PASS","FAIL"))</f>
        <v>PASS</v>
      </c>
      <c r="E27" s="2" t="s">
        <v>41</v>
      </c>
    </row>
    <row r="28" spans="1:5" ht="28.8" x14ac:dyDescent="0.3">
      <c r="A28" s="4" t="s">
        <v>42</v>
      </c>
      <c r="B28" s="7">
        <f>IF(COUNT(Cases!$R$2:$R$2)=0,"",MAX(Cases!$R$2:$R$2))</f>
        <v>0.25</v>
      </c>
      <c r="C28" s="7">
        <v>0.6</v>
      </c>
      <c r="D28" s="2" t="str">
        <f>IF(B28="","",IF(B28&lt;=C28,"PASS","FAIL"))</f>
        <v>PASS</v>
      </c>
      <c r="E28" s="2" t="s">
        <v>43</v>
      </c>
    </row>
    <row r="29" spans="1:5" ht="28.8" x14ac:dyDescent="0.3">
      <c r="A29" s="4" t="s">
        <v>44</v>
      </c>
      <c r="B29" s="7">
        <f>IFERROR(SUM(Cases!$S$2:$S$2)/SUM(Cases!$G$2:$G$2),"")</f>
        <v>0.2</v>
      </c>
      <c r="C29" s="7">
        <v>0.3</v>
      </c>
      <c r="D29" s="2" t="str">
        <f>IF(B29="","",IF(B29&lt;=C29,"PASS","FAIL"))</f>
        <v>PASS</v>
      </c>
      <c r="E29" s="2" t="s">
        <v>45</v>
      </c>
    </row>
    <row r="30" spans="1:5" ht="28.8" x14ac:dyDescent="0.3">
      <c r="A30" s="4" t="s">
        <v>46</v>
      </c>
      <c r="B30" s="7" t="str">
        <f>IFERROR(COUNTIFS(Cases!$D$2:$D$2,"edge: expect error",Cases!$V$2:$V$2,"Y")/COUNTIF(Cases!$D$2:$D$2,"edge: expect error"),"")</f>
        <v/>
      </c>
      <c r="C30" s="7">
        <v>1</v>
      </c>
      <c r="D30" s="2" t="str">
        <f>IF(B30="","",IF(B30&gt;=C30,"PASS","FAIL"))</f>
        <v/>
      </c>
      <c r="E30" s="2" t="s">
        <v>47</v>
      </c>
    </row>
    <row r="31" spans="1:5" x14ac:dyDescent="0.3">
      <c r="A31" s="4" t="s">
        <v>48</v>
      </c>
      <c r="B31" s="8">
        <f>IFERROR(AVERAGEIF(Cases!$D$2:$D$2,"normal",Cases!$Q$2:$Q$2),"")</f>
        <v>26.4</v>
      </c>
      <c r="C31" s="8"/>
      <c r="D31" s="2" t="s">
        <v>49</v>
      </c>
      <c r="E31" s="2" t="s">
        <v>50</v>
      </c>
    </row>
    <row r="33" spans="1:5" x14ac:dyDescent="0.3">
      <c r="A33" s="5" t="s">
        <v>51</v>
      </c>
    </row>
    <row r="34" spans="1:5" x14ac:dyDescent="0.3">
      <c r="A34" s="1" t="s">
        <v>52</v>
      </c>
      <c r="B34" s="1" t="s">
        <v>30</v>
      </c>
      <c r="C34" s="1" t="s">
        <v>53</v>
      </c>
      <c r="D34" s="1" t="s">
        <v>31</v>
      </c>
      <c r="E34" s="1" t="s">
        <v>32</v>
      </c>
    </row>
    <row r="35" spans="1:5" x14ac:dyDescent="0.3">
      <c r="A35" s="4" t="s">
        <v>54</v>
      </c>
      <c r="B35" s="7">
        <f>IFERROR(COUNTIF(Results!$P$2:$P$6,"Y")/(COUNTIF(Results!$P$2:$P$6,"Y")+COUNTIF(Results!$P$2:$P$6,"N")),"")</f>
        <v>1</v>
      </c>
      <c r="C35" s="2">
        <f>COUNTIF(Results!$P$2:$P$6,"Y")+COUNTIF(Results!$P$2:$P$6,"N")</f>
        <v>5</v>
      </c>
      <c r="D35" s="7">
        <v>0.98</v>
      </c>
      <c r="E35" s="2" t="str">
        <f t="shared" ref="E35:E41" si="0">IF(C35=0,"not graded yet",IF(B35&gt;=D35,"PASS","FAIL"))</f>
        <v>PASS</v>
      </c>
    </row>
    <row r="36" spans="1:5" x14ac:dyDescent="0.3">
      <c r="A36" s="4" t="s">
        <v>55</v>
      </c>
      <c r="B36" s="7">
        <f>IFERROR(COUNTIF(Results!$Q$2:$Q$6,"Y")/(COUNTIF(Results!$Q$2:$Q$6,"Y")+COUNTIF(Results!$Q$2:$Q$6,"N")),"")</f>
        <v>1</v>
      </c>
      <c r="C36" s="2">
        <f>COUNTIF(Results!$Q$2:$Q$6,"Y")+COUNTIF(Results!$Q$2:$Q$6,"N")</f>
        <v>5</v>
      </c>
      <c r="D36" s="7">
        <v>0.9</v>
      </c>
      <c r="E36" s="2" t="str">
        <f t="shared" si="0"/>
        <v>PASS</v>
      </c>
    </row>
    <row r="37" spans="1:5" x14ac:dyDescent="0.3">
      <c r="A37" s="4" t="s">
        <v>56</v>
      </c>
      <c r="B37" s="7">
        <f>IFERROR(COUNTIF(Results!$R$2:$R$6,"Y")/(COUNTIF(Results!$R$2:$R$6,"Y")+COUNTIF(Results!$R$2:$R$6,"N")),"")</f>
        <v>1</v>
      </c>
      <c r="C37" s="2">
        <f>COUNTIF(Results!$R$2:$R$6,"Y")+COUNTIF(Results!$R$2:$R$6,"N")</f>
        <v>5</v>
      </c>
      <c r="D37" s="7">
        <v>0.9</v>
      </c>
      <c r="E37" s="2" t="str">
        <f t="shared" si="0"/>
        <v>PASS</v>
      </c>
    </row>
    <row r="38" spans="1:5" x14ac:dyDescent="0.3">
      <c r="A38" s="4" t="s">
        <v>57</v>
      </c>
      <c r="B38" s="7">
        <f>IFERROR(COUNTIF(Results!$S$2:$S$6,"Y")/(COUNTIF(Results!$S$2:$S$6,"Y")+COUNTIF(Results!$S$2:$S$6,"N")),"")</f>
        <v>1</v>
      </c>
      <c r="C38" s="2">
        <f>COUNTIF(Results!$S$2:$S$6,"Y")+COUNTIF(Results!$S$2:$S$6,"N")</f>
        <v>5</v>
      </c>
      <c r="D38" s="7">
        <v>0.9</v>
      </c>
      <c r="E38" s="2" t="str">
        <f t="shared" si="0"/>
        <v>PASS</v>
      </c>
    </row>
    <row r="39" spans="1:5" x14ac:dyDescent="0.3">
      <c r="A39" s="4" t="s">
        <v>58</v>
      </c>
      <c r="B39" s="7">
        <f>IFERROR(COUNTIF(Results!$T$2:$T$6,"Y")/(COUNTIF(Results!$T$2:$T$6,"Y")+COUNTIF(Results!$T$2:$T$6,"N")),"")</f>
        <v>1</v>
      </c>
      <c r="C39" s="2">
        <f>COUNTIF(Results!$T$2:$T$6,"Y")+COUNTIF(Results!$T$2:$T$6,"N")</f>
        <v>5</v>
      </c>
      <c r="D39" s="7">
        <v>0.9</v>
      </c>
      <c r="E39" s="2" t="str">
        <f t="shared" si="0"/>
        <v>PASS</v>
      </c>
    </row>
    <row r="40" spans="1:5" x14ac:dyDescent="0.3">
      <c r="A40" s="4" t="s">
        <v>59</v>
      </c>
      <c r="B40" s="7">
        <f>IFERROR(COUNTIF(Results!$U$2:$U$6,"Y")/(COUNTIF(Results!$U$2:$U$6,"Y")+COUNTIF(Results!$U$2:$U$6,"N")),"")</f>
        <v>1</v>
      </c>
      <c r="C40" s="2">
        <f>COUNTIF(Results!$U$2:$U$6,"Y")+COUNTIF(Results!$U$2:$U$6,"N")</f>
        <v>5</v>
      </c>
      <c r="D40" s="7">
        <v>0.9</v>
      </c>
      <c r="E40" s="2" t="str">
        <f t="shared" si="0"/>
        <v>PASS</v>
      </c>
    </row>
    <row r="41" spans="1:5" x14ac:dyDescent="0.3">
      <c r="A41" s="4" t="s">
        <v>60</v>
      </c>
      <c r="B41" s="7">
        <f>IFERROR(COUNTIF(Results!$V$2:$V$6,"Y")/(COUNTIF(Results!$V$2:$V$6,"Y")+COUNTIF(Results!$V$2:$V$6,"N")),"")</f>
        <v>1</v>
      </c>
      <c r="C41" s="2">
        <f>COUNTIF(Results!$V$2:$V$6,"Y")+COUNTIF(Results!$V$2:$V$6,"N")</f>
        <v>5</v>
      </c>
      <c r="D41" s="7">
        <v>0.9</v>
      </c>
      <c r="E41" s="2" t="str">
        <f t="shared" si="0"/>
        <v>PASS</v>
      </c>
    </row>
    <row r="42" spans="1:5" x14ac:dyDescent="0.3">
      <c r="A42" s="4" t="s">
        <v>61</v>
      </c>
      <c r="B42" s="2">
        <f>COUNTIFS(Results!$P$2:$P$6,"N",Results!$N$2:$N$6,"agreed")</f>
        <v>0</v>
      </c>
      <c r="C42" s="2">
        <f>COUNTIF(Results!$P$2:$P$6,"Y")+COUNTIF(Results!$P$2:$P$6,"N")</f>
        <v>5</v>
      </c>
      <c r="D42" s="2">
        <v>0</v>
      </c>
      <c r="E42" s="2" t="str">
        <f>IF(C42=0,"not graded yet",IF(B42&lt;=D42,"PASS","FAIL"))</f>
        <v>PASS</v>
      </c>
    </row>
    <row r="43" spans="1:5" x14ac:dyDescent="0.3">
      <c r="A43" t="s">
        <v>62</v>
      </c>
    </row>
  </sheetData>
  <conditionalFormatting sqref="D1:E200">
    <cfRule type="cellIs" dxfId="5" priority="1" operator="equal">
      <formula>"PASS"</formula>
    </cfRule>
    <cfRule type="cellIs" dxfId="4" priority="2" operator="equal">
      <formula>"FAIL"</formula>
    </cfRule>
  </conditionalFormatting>
  <pageMargins left="0.5" right="0.5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"/>
  <sheetViews>
    <sheetView workbookViewId="0">
      <pane xSplit="4" ySplit="1" topLeftCell="M2" activePane="bottomRight" state="frozen"/>
      <selection pane="topRight"/>
      <selection pane="bottomLeft"/>
      <selection pane="bottomRight" activeCell="W2" sqref="W2"/>
    </sheetView>
  </sheetViews>
  <sheetFormatPr defaultRowHeight="14.4" x14ac:dyDescent="0.3"/>
  <cols>
    <col min="1" max="1" width="9" customWidth="1"/>
    <col min="2" max="2" width="7" customWidth="1"/>
    <col min="3" max="3" width="8" customWidth="1"/>
    <col min="4" max="4" width="5" customWidth="1"/>
    <col min="5" max="5" width="12" customWidth="1"/>
    <col min="6" max="6" width="50" customWidth="1"/>
    <col min="7" max="10" width="18" customWidth="1"/>
    <col min="11" max="11" width="16" customWidth="1"/>
    <col min="12" max="12" width="46" customWidth="1"/>
    <col min="13" max="13" width="34" customWidth="1"/>
    <col min="14" max="14" width="11" customWidth="1"/>
    <col min="15" max="15" width="10" customWidth="1"/>
    <col min="16" max="22" width="11" customWidth="1"/>
    <col min="23" max="23" width="34" customWidth="1"/>
    <col min="24" max="24" width="36" customWidth="1"/>
    <col min="25" max="26" width="34" customWidth="1"/>
    <col min="27" max="27" width="20" customWidth="1"/>
  </cols>
  <sheetData>
    <row r="1" spans="1:27" ht="43.2" x14ac:dyDescent="0.3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</row>
    <row r="2" spans="1:27" ht="43.2" x14ac:dyDescent="0.3">
      <c r="A2" s="2" t="s">
        <v>14</v>
      </c>
      <c r="B2" s="6" t="s">
        <v>83</v>
      </c>
      <c r="C2" s="2" t="s">
        <v>84</v>
      </c>
      <c r="D2" s="2">
        <v>1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94</v>
      </c>
      <c r="O2" s="2" t="s">
        <v>71</v>
      </c>
      <c r="P2" s="9" t="s">
        <v>150</v>
      </c>
      <c r="Q2" s="9" t="s">
        <v>150</v>
      </c>
      <c r="R2" s="9" t="s">
        <v>150</v>
      </c>
      <c r="S2" s="9" t="s">
        <v>150</v>
      </c>
      <c r="T2" s="9" t="s">
        <v>150</v>
      </c>
      <c r="U2" s="9" t="s">
        <v>150</v>
      </c>
      <c r="V2" s="9" t="s">
        <v>150</v>
      </c>
      <c r="W2" s="2"/>
      <c r="X2" s="2" t="s">
        <v>95</v>
      </c>
      <c r="Y2" s="2" t="s">
        <v>96</v>
      </c>
      <c r="Z2" s="2" t="s">
        <v>97</v>
      </c>
      <c r="AA2" s="2" t="s">
        <v>98</v>
      </c>
    </row>
    <row r="3" spans="1:27" ht="28.8" x14ac:dyDescent="0.3">
      <c r="A3" s="2" t="s">
        <v>14</v>
      </c>
      <c r="B3" s="6" t="s">
        <v>83</v>
      </c>
      <c r="C3" s="2" t="s">
        <v>84</v>
      </c>
      <c r="D3" s="2">
        <v>2</v>
      </c>
      <c r="E3" s="2" t="s">
        <v>85</v>
      </c>
      <c r="F3" s="2" t="s">
        <v>99</v>
      </c>
      <c r="G3" s="2" t="s">
        <v>100</v>
      </c>
      <c r="H3" s="2" t="s">
        <v>89</v>
      </c>
      <c r="I3" s="2" t="s">
        <v>87</v>
      </c>
      <c r="J3" s="2" t="s">
        <v>101</v>
      </c>
      <c r="K3" s="2" t="s">
        <v>102</v>
      </c>
      <c r="L3" s="2" t="s">
        <v>103</v>
      </c>
      <c r="M3" s="2" t="s">
        <v>104</v>
      </c>
      <c r="N3" s="2" t="s">
        <v>94</v>
      </c>
      <c r="O3" s="2" t="s">
        <v>69</v>
      </c>
      <c r="P3" s="9" t="s">
        <v>150</v>
      </c>
      <c r="Q3" s="9" t="s">
        <v>150</v>
      </c>
      <c r="R3" s="9" t="s">
        <v>150</v>
      </c>
      <c r="S3" s="9" t="s">
        <v>150</v>
      </c>
      <c r="T3" s="9" t="s">
        <v>150</v>
      </c>
      <c r="U3" s="9" t="s">
        <v>150</v>
      </c>
      <c r="V3" s="9" t="s">
        <v>150</v>
      </c>
      <c r="W3" s="2"/>
      <c r="X3" s="2" t="s">
        <v>95</v>
      </c>
      <c r="Y3" s="2" t="s">
        <v>96</v>
      </c>
      <c r="Z3" s="2" t="s">
        <v>97</v>
      </c>
      <c r="AA3" s="2" t="s">
        <v>105</v>
      </c>
    </row>
    <row r="4" spans="1:27" ht="43.2" x14ac:dyDescent="0.3">
      <c r="A4" s="2" t="s">
        <v>14</v>
      </c>
      <c r="B4" s="6" t="s">
        <v>83</v>
      </c>
      <c r="C4" s="2" t="s">
        <v>84</v>
      </c>
      <c r="D4" s="2">
        <v>3</v>
      </c>
      <c r="E4" s="2" t="s">
        <v>106</v>
      </c>
      <c r="F4" s="2" t="s">
        <v>107</v>
      </c>
      <c r="G4" s="2" t="s">
        <v>108</v>
      </c>
      <c r="H4" s="2" t="s">
        <v>109</v>
      </c>
      <c r="I4" s="2"/>
      <c r="J4" s="2"/>
      <c r="K4" s="2" t="s">
        <v>110</v>
      </c>
      <c r="L4" s="2" t="s">
        <v>111</v>
      </c>
      <c r="M4" s="2" t="s">
        <v>112</v>
      </c>
      <c r="N4" s="2" t="s">
        <v>94</v>
      </c>
      <c r="O4" s="2" t="s">
        <v>69</v>
      </c>
      <c r="P4" s="9" t="s">
        <v>150</v>
      </c>
      <c r="Q4" s="9" t="s">
        <v>150</v>
      </c>
      <c r="R4" s="9" t="s">
        <v>150</v>
      </c>
      <c r="S4" s="9" t="s">
        <v>150</v>
      </c>
      <c r="T4" s="9" t="s">
        <v>150</v>
      </c>
      <c r="U4" s="9" t="s">
        <v>150</v>
      </c>
      <c r="V4" s="9" t="s">
        <v>150</v>
      </c>
      <c r="W4" s="2"/>
      <c r="X4" s="2" t="s">
        <v>95</v>
      </c>
      <c r="Y4" s="2" t="s">
        <v>96</v>
      </c>
      <c r="Z4" s="2" t="s">
        <v>97</v>
      </c>
      <c r="AA4" s="2" t="s">
        <v>113</v>
      </c>
    </row>
    <row r="5" spans="1:27" ht="28.8" x14ac:dyDescent="0.3">
      <c r="A5" s="2" t="s">
        <v>14</v>
      </c>
      <c r="B5" s="6" t="s">
        <v>83</v>
      </c>
      <c r="C5" s="2" t="s">
        <v>84</v>
      </c>
      <c r="D5" s="2">
        <v>4</v>
      </c>
      <c r="E5" s="2" t="s">
        <v>85</v>
      </c>
      <c r="F5" s="2" t="s">
        <v>114</v>
      </c>
      <c r="G5" s="2" t="s">
        <v>115</v>
      </c>
      <c r="H5" s="2" t="s">
        <v>16</v>
      </c>
      <c r="I5" s="2" t="s">
        <v>116</v>
      </c>
      <c r="J5" s="2" t="s">
        <v>117</v>
      </c>
      <c r="K5" s="2" t="s">
        <v>118</v>
      </c>
      <c r="L5" s="2" t="s">
        <v>119</v>
      </c>
      <c r="M5" s="2" t="s">
        <v>120</v>
      </c>
      <c r="N5" s="2" t="s">
        <v>94</v>
      </c>
      <c r="O5" s="2" t="s">
        <v>70</v>
      </c>
      <c r="P5" s="9" t="s">
        <v>150</v>
      </c>
      <c r="Q5" s="9" t="s">
        <v>150</v>
      </c>
      <c r="R5" s="9" t="s">
        <v>150</v>
      </c>
      <c r="S5" s="9" t="s">
        <v>150</v>
      </c>
      <c r="T5" s="9" t="s">
        <v>150</v>
      </c>
      <c r="U5" s="9" t="s">
        <v>150</v>
      </c>
      <c r="V5" s="9" t="s">
        <v>150</v>
      </c>
      <c r="W5" s="2"/>
      <c r="X5" s="2" t="s">
        <v>95</v>
      </c>
      <c r="Y5" s="2" t="s">
        <v>96</v>
      </c>
      <c r="Z5" s="2" t="s">
        <v>97</v>
      </c>
      <c r="AA5" s="2" t="s">
        <v>121</v>
      </c>
    </row>
    <row r="6" spans="1:27" ht="43.2" x14ac:dyDescent="0.3">
      <c r="A6" s="2" t="s">
        <v>14</v>
      </c>
      <c r="B6" s="6" t="s">
        <v>83</v>
      </c>
      <c r="C6" s="2" t="s">
        <v>84</v>
      </c>
      <c r="D6" s="2">
        <v>5</v>
      </c>
      <c r="E6" s="2" t="s">
        <v>85</v>
      </c>
      <c r="F6" s="2" t="s">
        <v>122</v>
      </c>
      <c r="G6" s="2" t="s">
        <v>115</v>
      </c>
      <c r="H6" s="2" t="s">
        <v>123</v>
      </c>
      <c r="I6" s="2" t="s">
        <v>16</v>
      </c>
      <c r="J6" s="2" t="s">
        <v>124</v>
      </c>
      <c r="K6" s="2" t="s">
        <v>125</v>
      </c>
      <c r="L6" s="2" t="s">
        <v>126</v>
      </c>
      <c r="M6" s="2" t="s">
        <v>127</v>
      </c>
      <c r="N6" s="2" t="s">
        <v>94</v>
      </c>
      <c r="O6" s="2" t="s">
        <v>72</v>
      </c>
      <c r="P6" s="9" t="s">
        <v>150</v>
      </c>
      <c r="Q6" s="9" t="s">
        <v>150</v>
      </c>
      <c r="R6" s="9" t="s">
        <v>150</v>
      </c>
      <c r="S6" s="9" t="s">
        <v>150</v>
      </c>
      <c r="T6" s="9" t="s">
        <v>150</v>
      </c>
      <c r="U6" s="9" t="s">
        <v>150</v>
      </c>
      <c r="V6" s="9" t="s">
        <v>150</v>
      </c>
      <c r="W6" s="2"/>
      <c r="X6" s="2" t="s">
        <v>95</v>
      </c>
      <c r="Y6" s="2" t="s">
        <v>96</v>
      </c>
      <c r="Z6" s="2" t="s">
        <v>97</v>
      </c>
      <c r="AA6" s="2" t="s">
        <v>98</v>
      </c>
    </row>
  </sheetData>
  <autoFilter ref="A1:AA6" xr:uid="{00000000-0009-0000-0000-000001000000}"/>
  <conditionalFormatting sqref="P2:V2000">
    <cfRule type="cellIs" dxfId="3" priority="1" operator="equal">
      <formula>"Y"</formula>
    </cfRule>
    <cfRule type="cellIs" dxfId="2" priority="2" operator="equal">
      <formula>"N"</formula>
    </cfRule>
  </conditionalFormatting>
  <dataValidations count="1">
    <dataValidation type="list" allowBlank="1" showErrorMessage="1" sqref="P2:V2000" xr:uid="{00000000-0002-0000-0100-000000000000}">
      <formula1>"Y,N"</formula1>
    </dataValidation>
  </dataValidations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"/>
  <sheetViews>
    <sheetView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4.4" x14ac:dyDescent="0.3"/>
  <cols>
    <col min="1" max="1" width="9" customWidth="1"/>
    <col min="2" max="2" width="7" customWidth="1"/>
    <col min="3" max="3" width="8" customWidth="1"/>
    <col min="4" max="4" width="14" customWidth="1"/>
    <col min="5" max="5" width="30" customWidth="1"/>
    <col min="6" max="6" width="7" customWidth="1"/>
    <col min="7" max="7" width="9" customWidth="1"/>
    <col min="8" max="9" width="10" customWidth="1"/>
    <col min="10" max="10" width="11" customWidth="1"/>
    <col min="11" max="13" width="10" customWidth="1"/>
    <col min="14" max="15" width="11" customWidth="1"/>
    <col min="16" max="17" width="9" customWidth="1"/>
    <col min="18" max="18" width="10" customWidth="1"/>
    <col min="19" max="19" width="9" customWidth="1"/>
    <col min="20" max="20" width="10" customWidth="1"/>
    <col min="21" max="21" width="28" customWidth="1"/>
    <col min="22" max="22" width="10" customWidth="1"/>
    <col min="23" max="23" width="44" customWidth="1"/>
  </cols>
  <sheetData>
    <row r="1" spans="1:23" ht="43.2" x14ac:dyDescent="0.3">
      <c r="A1" s="1" t="s">
        <v>63</v>
      </c>
      <c r="B1" s="1" t="s">
        <v>64</v>
      </c>
      <c r="C1" s="1" t="s">
        <v>65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</row>
    <row r="2" spans="1:23" x14ac:dyDescent="0.3">
      <c r="A2" s="2" t="s">
        <v>14</v>
      </c>
      <c r="B2" s="6" t="s">
        <v>83</v>
      </c>
      <c r="C2" s="2" t="s">
        <v>84</v>
      </c>
      <c r="D2" s="2" t="s">
        <v>148</v>
      </c>
      <c r="E2" s="2" t="s">
        <v>149</v>
      </c>
      <c r="F2" s="2">
        <v>5</v>
      </c>
      <c r="G2" s="2">
        <v>5</v>
      </c>
      <c r="H2" s="2" t="s">
        <v>150</v>
      </c>
      <c r="I2" s="2">
        <v>5</v>
      </c>
      <c r="J2" s="2">
        <v>5</v>
      </c>
      <c r="K2" s="7">
        <f>IFERROR(J2/I2,"")</f>
        <v>1</v>
      </c>
      <c r="L2" s="2">
        <v>5</v>
      </c>
      <c r="M2" s="2">
        <v>5</v>
      </c>
      <c r="N2" s="7">
        <f>IFERROR(M2/L2,"")</f>
        <v>1</v>
      </c>
      <c r="O2" s="2">
        <v>0</v>
      </c>
      <c r="P2" s="2">
        <v>1</v>
      </c>
      <c r="Q2" s="8">
        <v>26.4</v>
      </c>
      <c r="R2" s="7">
        <v>0.25</v>
      </c>
      <c r="S2" s="2">
        <v>1</v>
      </c>
      <c r="T2" s="2">
        <v>0.80200000000000005</v>
      </c>
      <c r="U2" s="2" t="s">
        <v>151</v>
      </c>
      <c r="V2" s="2" t="s">
        <v>150</v>
      </c>
      <c r="W2" s="2"/>
    </row>
  </sheetData>
  <autoFilter ref="A1:W2" xr:uid="{00000000-0009-0000-0000-000002000000}"/>
  <conditionalFormatting sqref="H2:H500 V2:V500">
    <cfRule type="cellIs" dxfId="1" priority="1" operator="equal">
      <formula>"Y"</formula>
    </cfRule>
    <cfRule type="cellIs" dxfId="0" priority="2" operator="equal">
      <formula>"N"</formula>
    </cfRule>
  </conditionalFormatting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Results</vt:lpstr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Sahana desai</cp:lastModifiedBy>
  <dcterms:modified xsi:type="dcterms:W3CDTF">2026-09-11T19:37:21Z</dcterms:modified>
</cp:coreProperties>
</file>