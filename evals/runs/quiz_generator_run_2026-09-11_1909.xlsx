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desai\AppData\Local\Temp\braintuitive-eval-out-ktcq2gsn\"/>
    </mc:Choice>
  </mc:AlternateContent>
  <xr:revisionPtr revIDLastSave="0" documentId="13_ncr:1_{F0278128-9B59-49DB-98F2-382F169AB99C}" xr6:coauthVersionLast="47" xr6:coauthVersionMax="47" xr10:uidLastSave="{00000000-0000-0000-0000-000000000000}"/>
  <bookViews>
    <workbookView xWindow="-108" yWindow="-108" windowWidth="23256" windowHeight="12456" xr2:uid="{00000000-000D-0000-FFFF-FFFF00000000}"/>
  </bookViews>
  <sheets>
    <sheet name="Summary" sheetId="1" r:id="rId1"/>
    <sheet name="Results" sheetId="2" r:id="rId2"/>
    <sheet name="Cases" sheetId="3" r:id="rId3"/>
  </sheets>
  <definedNames>
    <definedName name="_xlnm._FilterDatabase" localSheetId="2" hidden="1">Cases!$A$1:$W$16</definedName>
    <definedName name="_xlnm._FilterDatabase" localSheetId="1" hidden="1">Results!$A$1:$AA$71</definedName>
  </definedNames>
  <calcPr calcId="191029"/>
</workbook>
</file>

<file path=xl/calcChain.xml><?xml version="1.0" encoding="utf-8"?>
<calcChain xmlns="http://schemas.openxmlformats.org/spreadsheetml/2006/main">
  <c r="N16" i="3" l="1"/>
  <c r="K16" i="3"/>
  <c r="N15" i="3"/>
  <c r="K15" i="3"/>
  <c r="N14" i="3"/>
  <c r="K14" i="3"/>
  <c r="N13" i="3"/>
  <c r="K13" i="3"/>
  <c r="N12" i="3"/>
  <c r="K12" i="3"/>
  <c r="N11" i="3"/>
  <c r="K11" i="3"/>
  <c r="N10" i="3"/>
  <c r="K10" i="3"/>
  <c r="N9" i="3"/>
  <c r="K9" i="3"/>
  <c r="N8" i="3"/>
  <c r="K8" i="3"/>
  <c r="N7" i="3"/>
  <c r="K7" i="3"/>
  <c r="N6" i="3"/>
  <c r="K6" i="3"/>
  <c r="N5" i="3"/>
  <c r="K5" i="3"/>
  <c r="N4" i="3"/>
  <c r="K4" i="3"/>
  <c r="N3" i="3"/>
  <c r="K3" i="3"/>
  <c r="N2" i="3"/>
  <c r="K2" i="3"/>
  <c r="C42" i="1"/>
  <c r="E42" i="1" s="1"/>
  <c r="B42" i="1"/>
  <c r="C41" i="1"/>
  <c r="E41" i="1" s="1"/>
  <c r="B41" i="1"/>
  <c r="C40" i="1"/>
  <c r="E40" i="1" s="1"/>
  <c r="B40" i="1"/>
  <c r="C39" i="1"/>
  <c r="E39" i="1" s="1"/>
  <c r="B39" i="1"/>
  <c r="C38" i="1"/>
  <c r="E38" i="1" s="1"/>
  <c r="B38" i="1"/>
  <c r="C37" i="1"/>
  <c r="E37" i="1" s="1"/>
  <c r="B37" i="1"/>
  <c r="E36" i="1"/>
  <c r="C36" i="1"/>
  <c r="B36" i="1"/>
  <c r="C35" i="1"/>
  <c r="E35" i="1" s="1"/>
  <c r="B35" i="1"/>
  <c r="B31" i="1"/>
  <c r="B30" i="1"/>
  <c r="D30" i="1" s="1"/>
  <c r="D29" i="1"/>
  <c r="B29" i="1"/>
  <c r="B28" i="1"/>
  <c r="D28" i="1" s="1"/>
  <c r="B27" i="1"/>
  <c r="D27" i="1" s="1"/>
  <c r="B26" i="1"/>
  <c r="D26" i="1" s="1"/>
  <c r="B25" i="1"/>
  <c r="D25" i="1" s="1"/>
  <c r="B24" i="1"/>
  <c r="D24" i="1" s="1"/>
</calcChain>
</file>

<file path=xl/sharedStrings.xml><?xml version="1.0" encoding="utf-8"?>
<sst xmlns="http://schemas.openxmlformats.org/spreadsheetml/2006/main" count="1473" uniqueCount="653">
  <si>
    <t>Quiz Generator eval: 2026-09-11_1909</t>
  </si>
  <si>
    <t>How to use this file</t>
  </si>
  <si>
    <t>1. Open the Results sheet: one row per question the AI wrote.</t>
  </si>
  <si>
    <t>2. Fill in the yellow Y/N columns for every question. The Rubric sheet in the golden dataset explains each check.</t>
  </si>
  <si>
    <t>3. Come back here: 'Your grades' fills itself in as you grade.</t>
  </si>
  <si>
    <t>4. Take a screenshot of this sheet as your proof of evals.</t>
  </si>
  <si>
    <t>Run details</t>
  </si>
  <si>
    <t>Run</t>
  </si>
  <si>
    <t>2026-09-11_1909</t>
  </si>
  <si>
    <t>Date</t>
  </si>
  <si>
    <t>11 Sep 2026, 19:09</t>
  </si>
  <si>
    <t>Golden dataset</t>
  </si>
  <si>
    <t>quiz_generator_golden_v1.xlsx</t>
  </si>
  <si>
    <t>Rows run</t>
  </si>
  <si>
    <t>TC004, TC005, TC006, TC034, TC035, TC036, TC067, TC068, TC069, TC080, TC088, TC089, TC090, TC120, TC142</t>
  </si>
  <si>
    <t>Questions to grade</t>
  </si>
  <si>
    <t>70</t>
  </si>
  <si>
    <t>Questions asked per row</t>
  </si>
  <si>
    <t>5</t>
  </si>
  <si>
    <t>AI model</t>
  </si>
  <si>
    <t>Qwen/Qwen3-235B-A22B-Instruct-2507</t>
  </si>
  <si>
    <t>Answer checker</t>
  </si>
  <si>
    <t>on: a second AI re-solves every question without seeing the answer</t>
  </si>
  <si>
    <t>Curriculum</t>
  </si>
  <si>
    <t>des2@123.com (namespace math-grade6-ud58f81f0d50b)</t>
  </si>
  <si>
    <t>Database</t>
  </si>
  <si>
    <t>a temporary copy; the real database was not changed</t>
  </si>
  <si>
    <t>Time taken</t>
  </si>
  <si>
    <t>6.1 minutes</t>
  </si>
  <si>
    <t>Automatic numbers (measured by the script)</t>
  </si>
  <si>
    <t>Metric</t>
  </si>
  <si>
    <t>Score</t>
  </si>
  <si>
    <t>Target</t>
  </si>
  <si>
    <t>Result</t>
  </si>
  <si>
    <t>How it is worked out</t>
  </si>
  <si>
    <t>Completion</t>
  </si>
  <si>
    <t>Rows that returned every question they asked for (edge rows left out).</t>
  </si>
  <si>
    <t>Format pass rate</t>
  </si>
  <si>
    <t>Of every question the AI drafted, the share that passed the format check first time.</t>
  </si>
  <si>
    <t>Checker agreement</t>
  </si>
  <si>
    <t>Of every question checked, the share the independent checker solved to the same answer.</t>
  </si>
  <si>
    <t>Average attempts</t>
  </si>
  <si>
    <t>Rounds of writing the agent needed per row. More rounds cost more.</t>
  </si>
  <si>
    <t>Worst letter balance</t>
  </si>
  <si>
    <t>The largest share of one answer letter in any row. High means guessable.</t>
  </si>
  <si>
    <t>True/false share</t>
  </si>
  <si>
    <t>True/false questions among all questions (the agent allows at most 3 in 10).</t>
  </si>
  <si>
    <t>Bad input handled</t>
  </si>
  <si>
    <t>Edge rows (like a topic that doesn't exist) that failed clearly, as they should.</t>
  </si>
  <si>
    <t>Average seconds per row</t>
  </si>
  <si>
    <t>record only</t>
  </si>
  <si>
    <t>Time per row, including the checker. Recorded, no target.</t>
  </si>
  <si>
    <t>Your grades (fill in the Results sheet)</t>
  </si>
  <si>
    <t>Check</t>
  </si>
  <si>
    <t>Graded (of 70)</t>
  </si>
  <si>
    <t>Correct key</t>
  </si>
  <si>
    <t>One right answer</t>
  </si>
  <si>
    <t>On topic</t>
  </si>
  <si>
    <t>Right level</t>
  </si>
  <si>
    <t>Good wrong answers</t>
  </si>
  <si>
    <t>Good explanation</t>
  </si>
  <si>
    <t>Good hint</t>
  </si>
  <si>
    <t>Wrong keys the checker missed</t>
  </si>
  <si>
    <t>A wrong key the checker agreed with is a mistake the automatic checker missed: it shows whether the checker can be trusted alone.</t>
  </si>
  <si>
    <t>case_id</t>
  </si>
  <si>
    <t>topic</t>
  </si>
  <si>
    <t>level</t>
  </si>
  <si>
    <t>q#</t>
  </si>
  <si>
    <t>type</t>
  </si>
  <si>
    <t>question</t>
  </si>
  <si>
    <t>A</t>
  </si>
  <si>
    <t>B</t>
  </si>
  <si>
    <t>C</t>
  </si>
  <si>
    <t>D</t>
  </si>
  <si>
    <t>marked answer</t>
  </si>
  <si>
    <t>explanation</t>
  </si>
  <si>
    <t>hint</t>
  </si>
  <si>
    <t>checker verdict</t>
  </si>
  <si>
    <t>checker's answer</t>
  </si>
  <si>
    <t>your comments</t>
  </si>
  <si>
    <t>learning objective</t>
  </si>
  <si>
    <t>a good question looks like</t>
  </si>
  <si>
    <t>must NOT include</t>
  </si>
  <si>
    <t>skill tag</t>
  </si>
  <si>
    <t>TC004</t>
  </si>
  <si>
    <t>1.2</t>
  </si>
  <si>
    <t>Easy</t>
  </si>
  <si>
    <t>Multiple choice</t>
  </si>
  <si>
    <t>What is the value of -7 + 3?</t>
  </si>
  <si>
    <t>-10</t>
  </si>
  <si>
    <t>4</t>
  </si>
  <si>
    <t>-4</t>
  </si>
  <si>
    <t>10</t>
  </si>
  <si>
    <t>C) -4</t>
  </si>
  <si>
    <t>You start at -7 and add 3, which means moving 3 units to the right on the number line. That brings you to -4.</t>
  </si>
  <si>
    <t>Start at -7. Adding 3 means move 3 to the right.</t>
  </si>
  <si>
    <t>agreed</t>
  </si>
  <si>
    <t>Fluently add, subtract, multiply and divide integers.</t>
  </si>
  <si>
    <t>One operation with negative integers, small numbers.</t>
  </si>
  <si>
    <t>fractions or decimals (that's 1.5); exponents or roots (1.7)</t>
  </si>
  <si>
    <t>add_integers</t>
  </si>
  <si>
    <t>What is the result of -5 - 8?</t>
  </si>
  <si>
    <t>3</t>
  </si>
  <si>
    <t>-3</t>
  </si>
  <si>
    <t>13</t>
  </si>
  <si>
    <t>-13</t>
  </si>
  <si>
    <t>D) -13</t>
  </si>
  <si>
    <t>Subtracting 8 from -5 means you go further left on the number line. -5 minus 8 is -13.</t>
  </si>
  <si>
    <t>Start at -5. Subtracting 8 means move 8 to the left.</t>
  </si>
  <si>
    <t>subtract_integers</t>
  </si>
  <si>
    <t>What is -4 × 6?</t>
  </si>
  <si>
    <t>-24</t>
  </si>
  <si>
    <t>24</t>
  </si>
  <si>
    <t>A) -24</t>
  </si>
  <si>
    <t>When you multiply a negative number by a positive number, the result is negative. 4 times 6 is 24, so -4 times 6 is -24.</t>
  </si>
  <si>
    <t>Multiply 4 and 6, then make the answer negative because one number is negative.</t>
  </si>
  <si>
    <t>multiply_integers</t>
  </si>
  <si>
    <t>What is -18 ÷ 3?</t>
  </si>
  <si>
    <t>6</t>
  </si>
  <si>
    <t>-6</t>
  </si>
  <si>
    <t>15</t>
  </si>
  <si>
    <t>-21</t>
  </si>
  <si>
    <t>B) -6</t>
  </si>
  <si>
    <t>When you divide a negative number by a positive number, the result is negative. 18 divided by 3 is 6, so -18 divided by 3 is -6.</t>
  </si>
  <si>
    <t>Divide 18 by 3, then make the answer negative.</t>
  </si>
  <si>
    <t>divide_integers</t>
  </si>
  <si>
    <t>True/False</t>
  </si>
  <si>
    <t>The sum of -9 and 9 is 0.</t>
  </si>
  <si>
    <t>True</t>
  </si>
  <si>
    <t>False</t>
  </si>
  <si>
    <t>A) True</t>
  </si>
  <si>
    <t>When you add a number and its opposite, the result is always 0. -9 and 9 are opposites, so their sum is 0.</t>
  </si>
  <si>
    <t>Think about what happens when you add a number to its opposite.</t>
  </si>
  <si>
    <t>TC005</t>
  </si>
  <si>
    <t>Medium</t>
  </si>
  <si>
    <t>A submarine is at a depth of -150 meters. It rises 80 meters, then descends 120 meters. What is its final position relative to sea level?</t>
  </si>
  <si>
    <t>-50 meters</t>
  </si>
  <si>
    <t>-10 meters</t>
  </si>
  <si>
    <t>10 meters</t>
  </si>
  <si>
    <t>-190 meters</t>
  </si>
  <si>
    <t>D) -190 meters</t>
  </si>
  <si>
    <t>You start at -150. Rising 80 means you add 80: -150 + 80 = -70. Then descending 120 means you subtract 120: -70 - 120 = -190. So the final position is -190 meters.</t>
  </si>
  <si>
    <t>Start at -150. Rising 80 means add 80, then descending 120 means subtract 120.</t>
  </si>
  <si>
    <t>Two or three operations, or a short real-life story (temperature, money, elevation).</t>
  </si>
  <si>
    <t>The temperature was -7°C at 6 a.m. By noon, it had increased by 15°C. Then by 8 p.m., it dropped by 11°C. What was the temperature at 8 p.m.?</t>
  </si>
  <si>
    <t>-3°C</t>
  </si>
  <si>
    <t>3°C</t>
  </si>
  <si>
    <t>9°C</t>
  </si>
  <si>
    <t>13°C</t>
  </si>
  <si>
    <t>A) -3°C</t>
  </si>
  <si>
    <t>Start at -7. Increase by 15: -7 + 15 = 8. Then drop by 11: 8 - 11 = -3. So the temperature at 8 p.m. was -3°C.</t>
  </si>
  <si>
    <t>Start at -7. Increasing 15 means add 15, then dropping 11 means subtract 11.</t>
  </si>
  <si>
    <t>A stock loses $4 per day for 5 consecutive days. What is the total change in the stock's value?</t>
  </si>
  <si>
    <t>-9 dollars</t>
  </si>
  <si>
    <t>-20 dollars</t>
  </si>
  <si>
    <t>9 dollars</t>
  </si>
  <si>
    <t>20 dollars</t>
  </si>
  <si>
    <t>B) -20 dollars</t>
  </si>
  <si>
    <t>Losing $4 each day for 5 days means -4 × 5 = -20. So the total change is -20 dollars.</t>
  </si>
  <si>
    <t>Losing 4 dollars per day means -4. Multiply that by 5 days.</t>
  </si>
  <si>
    <t>A hiker descends 200 feet every hour for 3 hours, then climbs 150 feet. What is her total change in elevation?</t>
  </si>
  <si>
    <t>-750 feet</t>
  </si>
  <si>
    <t>-350 feet</t>
  </si>
  <si>
    <t>-450 feet</t>
  </si>
  <si>
    <t>450 feet</t>
  </si>
  <si>
    <t>C) -450 feet</t>
  </si>
  <si>
    <t>Descending 200 feet per hour for 3 hours is -200 × 3 = -600. Then climbing 150 feet means +150. So -600 + 150 = -450 feet total change.</t>
  </si>
  <si>
    <t>Descending 200 feet per hour means -200. Multiply by 3, then add 150 for climbing up.</t>
  </si>
  <si>
    <t>The product of two negative integers is always positive.</t>
  </si>
  <si>
    <t>When you multiply two negative integers, like -3 × -4, the result is 12, which is positive. This rule holds for all negative integers.</t>
  </si>
  <si>
    <t>Think about -2 times -5. Does that make -10 or 10?</t>
  </si>
  <si>
    <t>TC006</t>
  </si>
  <si>
    <t>Tricky</t>
  </si>
  <si>
    <t>B) -190 meters</t>
  </si>
  <si>
    <t>You start at -150. Rising 80 means add 80: -150 + 80 = -70. Then descending 120 means subtract 120: -70 - 120 = -190. So the final position is -190 meters.</t>
  </si>
  <si>
    <t>Find the correct answer after someone's sign mistake; order of operations with negatives.</t>
  </si>
  <si>
    <t>Which expression has the same value as (-7) - (-4)?</t>
  </si>
  <si>
    <t>-7 + 4</t>
  </si>
  <si>
    <t>-7 + (-4)</t>
  </si>
  <si>
    <t>7 - 4</t>
  </si>
  <si>
    <t>7 + 4</t>
  </si>
  <si>
    <t>A) -7 + 4</t>
  </si>
  <si>
    <t>Subtracting a negative is the same as adding the positive. So (-7) - (-4) becomes -7 + 4, which equals -3. The correct expression is -7 + 4.</t>
  </si>
  <si>
    <t>Subtracting a negative number means you add the positive version of that number.</t>
  </si>
  <si>
    <t>A student evaluates the expression (-6) × (-3) × (-1). They say the answer is 18. Is this correct?</t>
  </si>
  <si>
    <t>B) False</t>
  </si>
  <si>
    <t>You multiply step by step: (-6) × (-3) = 18, then 18 × (-1) = -18. The correct answer is -18, not 18. Multiplying an odd number of negative integers gives a negative result.</t>
  </si>
  <si>
    <t>Multiply the first two numbers: negative times negative is positive. Then multiply that result by the third number: positive times negative is negative.</t>
  </si>
  <si>
    <t>At which step does the error first appear in this work? Problem: (-48) ÷ (-6) ÷ 2. Step 1: (-48) ÷ (-6) = 8. Step 2: 8 ÷ 2 = 4. Step 3: Answer is -4.</t>
  </si>
  <si>
    <t>Step 1</t>
  </si>
  <si>
    <t>Step 2</t>
  </si>
  <si>
    <t>There is no error.</t>
  </si>
  <si>
    <t>Step 3</t>
  </si>
  <si>
    <t>D) Step 3</t>
  </si>
  <si>
    <t>Steps 1 and 2 are correct: (-48) ÷ (-6) = 8, and 8 ÷ 2 = 4. The answer should be positive 4. The error is in Step 3, where the student incorrectly writes -4 instead of 4.</t>
  </si>
  <si>
    <t>Check each division step: negative divided by negative is positive, then positive divided by positive is positive.</t>
  </si>
  <si>
    <t>A student evaluates the expression (-5) × (3) + (-4) ÷ (-2). Their work is shown in steps:
Step 1: (-5) × 3 = -15
Step 2: (-4) ÷ (-2) = -2
Step 3: -15 + (-2) = -17
At which step does the error first appear?</t>
  </si>
  <si>
    <t>There is no error</t>
  </si>
  <si>
    <t>C) Step 2</t>
  </si>
  <si>
    <t>You must divide -4 by -2. A negative divided by a negative is positive, so (-4) ÷ (-2) = 2, not -2. The error first appears in Step 2. Then, -15 + 2 = -13, which is the correct final answer.</t>
  </si>
  <si>
    <t>Divide -4 by -2. Remember, a negative divided by a negative gives a positive result.</t>
  </si>
  <si>
    <t>TC034</t>
  </si>
  <si>
    <t>2.5</t>
  </si>
  <si>
    <t>Solve the equation: 2x + 3 = 11</t>
  </si>
  <si>
    <t>x = 4</t>
  </si>
  <si>
    <t>x = 7</t>
  </si>
  <si>
    <t>x = 5</t>
  </si>
  <si>
    <t>x = 6</t>
  </si>
  <si>
    <t>A) x = 4</t>
  </si>
  <si>
    <t>You subtract 3 from both sides to get 2x = 8, then divide both sides by 2 to get x = 4.</t>
  </si>
  <si>
    <t>Subtract 3 from 11, then divide that answer by 2.</t>
  </si>
  <si>
    <t>Write, graph, and solve two-step equations and inequalities that include integers and/or rational numbers.</t>
  </si>
  <si>
    <t>Solve a two-step equation with small whole numbers.</t>
  </si>
  <si>
    <t>variables on both sides, e.g. 8x + 15 = 2x (that's topic 2.6); questions that can only be answered by looking at a picture (a number-line graph described in words is fine)</t>
  </si>
  <si>
    <t>solve_two_step_equations</t>
  </si>
  <si>
    <t>Solve the inequality: 3x - 4 &gt; 5</t>
  </si>
  <si>
    <t>x &gt; 1</t>
  </si>
  <si>
    <t>x &gt; 2</t>
  </si>
  <si>
    <t>x &gt; 4</t>
  </si>
  <si>
    <t>x &gt; 3</t>
  </si>
  <si>
    <t>D) x &gt; 3</t>
  </si>
  <si>
    <t>You add 4 to both sides to get 3x &gt; 9, then divide both sides by 3 to get x &gt; 3.</t>
  </si>
  <si>
    <t>Add 4 to 5, then divide that answer by 3.</t>
  </si>
  <si>
    <t>solve_two_step_inequalities</t>
  </si>
  <si>
    <t>Which inequality represents: 'Five more than twice a number is less than 13'?</t>
  </si>
  <si>
    <t>2x - 5 &lt; 13</t>
  </si>
  <si>
    <t>5x + 2 &lt; 13</t>
  </si>
  <si>
    <t>2x + 5 &lt; 13</t>
  </si>
  <si>
    <t>2 + 5x &lt; 13</t>
  </si>
  <si>
    <t>C) 2x + 5 &lt; 13</t>
  </si>
  <si>
    <t>Twice a number is 2x. Five more than that is 2x + 5. 'Is less than 13' means &lt; 13, so the inequality is 2x + 5 &lt; 13.</t>
  </si>
  <si>
    <t>Twice a number means 2x. Five more means add 5. Less than means &lt;.</t>
  </si>
  <si>
    <t>write_two_step_inequalities</t>
  </si>
  <si>
    <t>Which equation matches: 'Three less than four times a number equals 13'?</t>
  </si>
  <si>
    <t>3 - 4x = 13</t>
  </si>
  <si>
    <t>4x - 3 = 13</t>
  </si>
  <si>
    <t>4x + 3 = 13</t>
  </si>
  <si>
    <t>4(x - 3) = 13</t>
  </si>
  <si>
    <t>B) 4x - 3 = 13</t>
  </si>
  <si>
    <t>Four times a number is 4x. Three less than that is 4x - 3. Equals 13 means = 13, so the equation is 4x - 3 = 13.</t>
  </si>
  <si>
    <t>Four times a number means 4x. Three less means subtract 3. Equals means =.</t>
  </si>
  <si>
    <t>write_two_step_equations</t>
  </si>
  <si>
    <t>Solve the equation: -2x + 5 = 1</t>
  </si>
  <si>
    <t>x = 2</t>
  </si>
  <si>
    <t>x = -2</t>
  </si>
  <si>
    <t>x = 3</t>
  </si>
  <si>
    <t>x = -3</t>
  </si>
  <si>
    <t>A) x = 2</t>
  </si>
  <si>
    <t>You subtract 5 from both sides to get -2x = -4. Then divide both sides by -2 to find x = 2.</t>
  </si>
  <si>
    <t>Start by subtracting 5 from both sides. Then divide by -2.</t>
  </si>
  <si>
    <t>TC035</t>
  </si>
  <si>
    <t>A scuba diver starts at sea level and descends 80 feet. Then, the diver ascends 35 feet. Which equation represents the diver's final position relative to sea level?</t>
  </si>
  <si>
    <t>x = 80 - 35</t>
  </si>
  <si>
    <t>x = -80 - 35</t>
  </si>
  <si>
    <t>x = -80 + 35</t>
  </si>
  <si>
    <t>x = 35 + 80</t>
  </si>
  <si>
    <t>C) x = -80 + 35</t>
  </si>
  <si>
    <t>You start at 0. Descending 80 feet means -80. Ascending 35 feet means +35. So the equation is x = -80 + 35.</t>
  </si>
  <si>
    <t>Start at 0. Descending 80 means -80. Ascending 35 means +35.</t>
  </si>
  <si>
    <t>A two-step equation or inequality, sometimes in a short real-life story, with exactly one correct answer.</t>
  </si>
  <si>
    <t>Solve the inequality: 2x + 5 &lt; 13</t>
  </si>
  <si>
    <t>x &lt; 9</t>
  </si>
  <si>
    <t>x &gt; 9</t>
  </si>
  <si>
    <t>x &lt; 4</t>
  </si>
  <si>
    <t>D) x &lt; 4</t>
  </si>
  <si>
    <t>Subtract 5 from both sides: 2x &lt; 8. Then divide both sides by 2: x &lt; 4.</t>
  </si>
  <si>
    <t>Move the 5 to the other side, where it becomes -5. Then divide by 2.</t>
  </si>
  <si>
    <t>The temperature was -10°C at dawn. It rose steadily by 3°C per hour. After how many hours was the temperature 8°C? Write an equation that models this situation.</t>
  </si>
  <si>
    <t>-10 + 3h = 8</t>
  </si>
  <si>
    <t>10 + 3h = 8</t>
  </si>
  <si>
    <t>3h - 8 = 10</t>
  </si>
  <si>
    <t>-10 - 3h = 8</t>
  </si>
  <si>
    <t>A) -10 + 3h = 8</t>
  </si>
  <si>
    <t>The starting temperature is -10. It increases by 3°C each hour, so after h hours it's -10 + 3h. Set that equal to 8 to find when it reaches 8°C.</t>
  </si>
  <si>
    <t>Start at -10. Rising 3 per hour means +3h. Set that equal to 8.</t>
  </si>
  <si>
    <t>Which graph correctly shows the solution to the inequality 3x - 6 ≥ 9?</t>
  </si>
  <si>
    <t>An open circle at 5 with shading to the right</t>
  </si>
  <si>
    <t>A closed circle at 5 with shading to the right</t>
  </si>
  <si>
    <t>A closed circle at 1 with shading to the left</t>
  </si>
  <si>
    <t>An open circle at 1 with shading to the left</t>
  </si>
  <si>
    <t>B) A closed circle at 5 with shading to the right</t>
  </si>
  <si>
    <t>Solve: 3x - 6 ≥ 9 → 3x ≥ 15 → x ≥ 5. A closed circle at 5 shows that 5 is included, and shading to the right shows all numbers greater than 5.</t>
  </si>
  <si>
    <t>Add 6 to both sides, then divide by 3. The inequality sign stays the same.</t>
  </si>
  <si>
    <t>graph_inequalities</t>
  </si>
  <si>
    <t>Solving the equation 4x + 7 = -13 gives x = -5.</t>
  </si>
  <si>
    <t>Subtract 7 from both sides: 4x = -20. Then divide by 4: x = -5. So the solution is correct.</t>
  </si>
  <si>
    <t>Move the 7 to the other side, where it becomes -7. Then divide by 4.</t>
  </si>
  <si>
    <t>TC036</t>
  </si>
  <si>
    <t>A scuba diver starts at a depth of -150 feet. She rises 80 feet, then descends 120 feet. What is her final depth?</t>
  </si>
  <si>
    <t>-190 feet</t>
  </si>
  <si>
    <t>-10 feet</t>
  </si>
  <si>
    <t>10 feet</t>
  </si>
  <si>
    <t>-50 feet</t>
  </si>
  <si>
    <t>A) -190 feet</t>
  </si>
  <si>
    <t>You start at -150. Rising 80 feet means adding 80: -150 + 80 = -70. Then descending 120 feet means subtracting 120: -70 - 120 = -190. So the final depth is -190 feet.</t>
  </si>
  <si>
    <t>A two-step inequality where the sign must flip.</t>
  </si>
  <si>
    <t>Which inequality represents the statement: 'Five less than twice a number is at least 14'?</t>
  </si>
  <si>
    <t>2x - 5 &lt; 14</t>
  </si>
  <si>
    <t>2x - 5 ≥ 14</t>
  </si>
  <si>
    <t>2x + 5 ≥ 14</t>
  </si>
  <si>
    <t>5 - 2x ≥ 14</t>
  </si>
  <si>
    <t>B) 2x - 5 ≥ 14</t>
  </si>
  <si>
    <t>Twice a number is 2x. Five less than that is 2x - 5. 'At least 14' means greater than or equal to 14. So the correct inequality is 2x - 5 ≥ 14.</t>
  </si>
  <si>
    <t>Twice a number means 2x. Five less than that means subtract 5. At least 14 means ≥ 14.</t>
  </si>
  <si>
    <t>Solve the inequality: 3x + 7 &lt; 16</t>
  </si>
  <si>
    <t>x &lt; 7</t>
  </si>
  <si>
    <t>x &gt; 7</t>
  </si>
  <si>
    <t>x &lt; 3</t>
  </si>
  <si>
    <t>D) x &lt; 3</t>
  </si>
  <si>
    <t>Subtract 7 from both sides: 3x &lt; 9. Then divide both sides by 3: x &lt; 3. The inequality sign stays the same because we divided by a positive number.</t>
  </si>
  <si>
    <t>Move the 7 to the other side, where it becomes -7. Then divide by 3.</t>
  </si>
  <si>
    <t>A student solved the equation 4(x - 3) = 20 as shown:
Step 1: 4x - 12 = 20
Step 2: 4x = 8
Step 3: x = 2
At which step does the error first appear?</t>
  </si>
  <si>
    <t>Step 1 is correct: distributing 4 gives 4x - 12 = 20. But in Step 2, the student subtracted 12 instead of adding it. The correct step is 4x = 32, so x = 8. The error first appears in Step 2.</t>
  </si>
  <si>
    <t>Check each step: distribute first, then add 12 to both sides, then divide by 4.</t>
  </si>
  <si>
    <t>The solution to the inequality 2x + 5 ≤ 13 is x ≤ 4.</t>
  </si>
  <si>
    <t>Subtract 5 from both sides: 2x ≤ 8. Then divide by 2: x ≤ 4. The solution is correct.</t>
  </si>
  <si>
    <t>Subtract 5 from both sides, then divide by 2.</t>
  </si>
  <si>
    <t>TC067</t>
  </si>
  <si>
    <t>3.9</t>
  </si>
  <si>
    <t>A shirt costs $20. The store increases the price by 10%. What is the new price?</t>
  </si>
  <si>
    <t>$20.10</t>
  </si>
  <si>
    <t>$30</t>
  </si>
  <si>
    <t>$22</t>
  </si>
  <si>
    <t>$18</t>
  </si>
  <si>
    <t>C) $22</t>
  </si>
  <si>
    <t>You find 10% of $20, which is $2, then add it to the original price. $20 + $2 = $22.</t>
  </si>
  <si>
    <t>10% of $20 means multiply 20 by 0.10, then add the result to 20.</t>
  </si>
  <si>
    <t>Solve percent problems involving percentages of increase and decrease (includes mark-up and discount).</t>
  </si>
  <si>
    <t>Find a sale price after a simple discount.</t>
  </si>
  <si>
    <t>simple or compound interest (not in this objective)</t>
  </si>
  <si>
    <t>calculate_percent_increase</t>
  </si>
  <si>
    <t>A book is on sale for 25% off. The original price is $12. What is the sale price?</t>
  </si>
  <si>
    <t>$9</t>
  </si>
  <si>
    <t>$3</t>
  </si>
  <si>
    <t>$15</t>
  </si>
  <si>
    <t>$11.75</t>
  </si>
  <si>
    <t>A) $9</t>
  </si>
  <si>
    <t>25% of $12 is $3. Subtract $3 from $12 to get the sale price: $12 - $3 = $9.</t>
  </si>
  <si>
    <t>25% off means multiply 12 by 0.25 to find the discount, then subtract that from 12.</t>
  </si>
  <si>
    <t>solve_discount_problems</t>
  </si>
  <si>
    <t>A toy costs $40. The price is marked up by 20%. What is the new price?</t>
  </si>
  <si>
    <t>$50</t>
  </si>
  <si>
    <t>$48</t>
  </si>
  <si>
    <t>$42</t>
  </si>
  <si>
    <t>$32</t>
  </si>
  <si>
    <t>B) $48</t>
  </si>
  <si>
    <t>20% of $40 is $8. Add $8 to $40: $40 + $8 = $48.</t>
  </si>
  <si>
    <t>20% of 40 means multiply 40 by 0.20, then add the result to 40.</t>
  </si>
  <si>
    <t>solve_markup_problems</t>
  </si>
  <si>
    <t>A town's population was 800. It decreased by 5%. What is the new population?</t>
  </si>
  <si>
    <t>795</t>
  </si>
  <si>
    <t>805</t>
  </si>
  <si>
    <t>750</t>
  </si>
  <si>
    <t>760</t>
  </si>
  <si>
    <t>D) 760</t>
  </si>
  <si>
    <t>5% of 800 is 40. Subtract 40 from 800: 800 - 40 = 760.</t>
  </si>
  <si>
    <t>5% of 800 means multiply 800 by 0.05, then subtract the result from 800.</t>
  </si>
  <si>
    <t>calculate_percent_decrease</t>
  </si>
  <si>
    <t>To find the new price after a 15% discount, you multiply the original price by 0.15 and subtract that from the original price.</t>
  </si>
  <si>
    <t>Yes, you find 15% of the price by multiplying by 0.15, then subtract that discount from the original price.</t>
  </si>
  <si>
    <t>15% off means multiply the price by 0.15 to get the amount saved, then subtract it.</t>
  </si>
  <si>
    <t>TC068</t>
  </si>
  <si>
    <t>A pair of sneakers originally priced at $80 is on sale for 25% off. What is the sale price of the sneakers?</t>
  </si>
  <si>
    <t>$75</t>
  </si>
  <si>
    <t>$55</t>
  </si>
  <si>
    <t>$60</t>
  </si>
  <si>
    <t>$70</t>
  </si>
  <si>
    <t>C) $60</t>
  </si>
  <si>
    <t>You need to find 25% of $80, which is 0.25 × 80 = $20. Then subtract that from the original price: 80 - 20 = $60. So the sale price is $60.</t>
  </si>
  <si>
    <t>25% off means multiply 80 by 0.25, then subtract that from 80.</t>
  </si>
  <si>
    <t>Find a selling price after a mark-up.</t>
  </si>
  <si>
    <t>A bookstore increases the price of a novel by 20%. If the original price was $15, what is the new price?</t>
  </si>
  <si>
    <t>$17</t>
  </si>
  <si>
    <t>$19</t>
  </si>
  <si>
    <t>$16</t>
  </si>
  <si>
    <t>A) $18</t>
  </si>
  <si>
    <t>You find 20% of $15, which is 0.20 × 15 = $3. Then add that to the original price: 15 + 3 = $18. So the new price is $18.</t>
  </si>
  <si>
    <t>20% increase means multiply 15 by 0.20, then add that to 15.</t>
  </si>
  <si>
    <t>A jacket is marked down by 30%. If the sale price is $56, what was the original price?</t>
  </si>
  <si>
    <t>$65</t>
  </si>
  <si>
    <t>$80</t>
  </si>
  <si>
    <t>D) $80</t>
  </si>
  <si>
    <t>If the jacket is marked down 30%, you're paying 70% of the original price. So 70% of the original price equals $56. Divide 56 by 0.70: 56 ÷ 0.70 = 80. The original price was $80.</t>
  </si>
  <si>
    <t>Sale price is 70% of original, so divide 56 by 0.70 to find the original.</t>
  </si>
  <si>
    <t>A store buys a video game for $40 and marks it up by 25% to sell it. What is the selling price?</t>
  </si>
  <si>
    <t>$45</t>
  </si>
  <si>
    <t>B) $50</t>
  </si>
  <si>
    <t>You calculate 25% of $40, which is 0.25 × 40 = $10. Then add that to the original cost: 40 + 10 = $50. So the selling price is $50.</t>
  </si>
  <si>
    <t>25% markup means multiply 40 by 0.25, then add that to 40.</t>
  </si>
  <si>
    <t>The population of a town increased from 4,000 to 4,600 over one year. The percent increase is 15%.</t>
  </si>
  <si>
    <t>The increase is 4,600 - 4,000 = 600. To find the percent increase: (600 ÷ 4,000) × 100 = 0.15 × 100 = 15%. So the statement is true.</t>
  </si>
  <si>
    <t>Find the difference, then divide by the original population and multiply by 100.</t>
  </si>
  <si>
    <t>TC069</t>
  </si>
  <si>
    <t>A store increases the price of a $45 jacket by 20%. What is the new price of the jacket?</t>
  </si>
  <si>
    <t>$49</t>
  </si>
  <si>
    <t>$54</t>
  </si>
  <si>
    <t>B) $54</t>
  </si>
  <si>
    <t>To find the new price after a 20% increase, multiply 45 by 0.20 to get 9, then add 9 to 45. The new price is $54.</t>
  </si>
  <si>
    <t>20% of 45 means multiply 45 by 0.20, then add that to 45.</t>
  </si>
  <si>
    <t>Percent change where the base matters.</t>
  </si>
  <si>
    <t>A bicycle originally priced at $120 is on sale for 25% off. What is the sale price?</t>
  </si>
  <si>
    <t>$90</t>
  </si>
  <si>
    <t>$100</t>
  </si>
  <si>
    <t>$110</t>
  </si>
  <si>
    <t>$145</t>
  </si>
  <si>
    <t>A) $90</t>
  </si>
  <si>
    <t>To find the sale price, calculate 25% of 120, which is 30, then subtract 30 from 120. The sale price is $90.</t>
  </si>
  <si>
    <t>25% off means multiply 120 by 0.25, then subtract that from 120.</t>
  </si>
  <si>
    <t>A student calculated a 15% markup on a $60 item by doing: 60 × 1.5 = 90. Is this correct?</t>
  </si>
  <si>
    <t>No, this is not correct. A 15% markup means multiplying by 1.15, not 1.5. The correct new price is $69, not $90.</t>
  </si>
  <si>
    <t>15% increase means multiply by 1 + 0.15, which is 1.15, not 1.5.</t>
  </si>
  <si>
    <t>Last year, a town had a population of 8,000. This year, it decreased by 6%. What is this year's population?</t>
  </si>
  <si>
    <t>7,680</t>
  </si>
  <si>
    <t>7,952</t>
  </si>
  <si>
    <t>8,480</t>
  </si>
  <si>
    <t>7,520</t>
  </si>
  <si>
    <t>D) 7,520</t>
  </si>
  <si>
    <t>6% of 8,000 is 480. Subtract 480 from 8,000 to get 7,520. This is the correct population after a 6% decrease.</t>
  </si>
  <si>
    <t>6% of 8,000 means multiply 8,000 by 0.06, then subtract that from 8,000.</t>
  </si>
  <si>
    <t>A pair of shoes is marked down from $85 to $68. What percent discount was applied?</t>
  </si>
  <si>
    <t>17%</t>
  </si>
  <si>
    <t>25%</t>
  </si>
  <si>
    <t>20%</t>
  </si>
  <si>
    <t>15%</t>
  </si>
  <si>
    <t>C) 20%</t>
  </si>
  <si>
    <t>The amount of discount is 85 - 68 = 17. To find the percent, divide 17 by 85 to get 0.20, or 20%. The discount is 20%.</t>
  </si>
  <si>
    <t>Find how much was taken off, then divide that by the original price and multiply by 100.</t>
  </si>
  <si>
    <t>TC080</t>
  </si>
  <si>
    <t>4.3</t>
  </si>
  <si>
    <t>Two parallel lines are cut by a transversal. One angle measures 75° and is labeled as an alternate exterior angle to angle x. What is the measure of angle x?</t>
  </si>
  <si>
    <t>105°</t>
  </si>
  <si>
    <t>15°</t>
  </si>
  <si>
    <t>115°</t>
  </si>
  <si>
    <t>75°</t>
  </si>
  <si>
    <t>D) 75°</t>
  </si>
  <si>
    <t>You know that alternate exterior angles are congruent when two parallel lines are cut by a transversal. Since one angle is 75°, angle x must also be 75° because they are alternate exterior angles.</t>
  </si>
  <si>
    <t>Alternate exterior angles are equal when lines are parallel. So if one is 75°, the other is also 75°.</t>
  </si>
  <si>
    <t>Classify and determine the measure of angles created when parallel lines are cut by a transversal.</t>
  </si>
  <si>
    <t>Use same-side interior angles adding to 180°.</t>
  </si>
  <si>
    <t>'in the figure below' or any other picture reference; triangle sums (4.4)</t>
  </si>
  <si>
    <t>classify_angles_transversal</t>
  </si>
  <si>
    <t>In the diagram, two parallel lines are cut by a transversal. Angle A and angle B are same-side interior angles. If angle A measures 110°, what is the measure of angle B?</t>
  </si>
  <si>
    <t>110°</t>
  </si>
  <si>
    <t>70°</t>
  </si>
  <si>
    <t>80°</t>
  </si>
  <si>
    <t>90°</t>
  </si>
  <si>
    <t>B) 70°</t>
  </si>
  <si>
    <t>Same-side interior angles are supplementary when parallel lines are cut by a transversal. So angle A + angle B = 180°. Since angle A is 110°, angle B must be 180 - 110 = 70°.</t>
  </si>
  <si>
    <t>Same-side interior angles add up to 180. So subtract 110 from 180 to find angle B.</t>
  </si>
  <si>
    <t>calculate_missing_angles</t>
  </si>
  <si>
    <t>When two parallel lines are cut by a transversal, corresponding angles are always equal.</t>
  </si>
  <si>
    <t>You are correct: when two parallel lines are cut by a transversal, corresponding angles are always congruent. This is a key property used to solve many angle problems.</t>
  </si>
  <si>
    <t>Think about the definition: corresponding angles are in matching corners and are equal when lines are parallel.</t>
  </si>
  <si>
    <t>identify_angle_pairs</t>
  </si>
  <si>
    <t>Two parallel lines are cut by a transversal. One angle measures 48° and is adjacent to angle y, forming a straight line. What is the measure of the corresponding angle to angle y?</t>
  </si>
  <si>
    <t>132°</t>
  </si>
  <si>
    <t>48°</t>
  </si>
  <si>
    <t>42°</t>
  </si>
  <si>
    <t>96°</t>
  </si>
  <si>
    <t>A) 132°</t>
  </si>
  <si>
    <t>Angle y is on a straight line with 48°, so y = 180 - 48 = 132°. The corresponding angle to y will be equal to y because the lines are parallel, so it is also 132°.</t>
  </si>
  <si>
    <t>First find angle y by subtracting 48 from 180. Then, since corresponding angles are equal, the answer is the same as y.</t>
  </si>
  <si>
    <t>apply_parallel_line_properties</t>
  </si>
  <si>
    <t>Angle p and angle q are alternate interior angles formed when two parallel lines are cut by a transversal. If angle p = 3x and angle q = x + 50, what is the value of x?</t>
  </si>
  <si>
    <t>20</t>
  </si>
  <si>
    <t>30</t>
  </si>
  <si>
    <t>25</t>
  </si>
  <si>
    <t>C) 25</t>
  </si>
  <si>
    <t>Alternate interior angles are equal when lines are parallel, so 3x = x + 50. Subtract x from both sides: 2x = 50. Then divide by 2: x = 25.</t>
  </si>
  <si>
    <t>Set 3x equal to x + 50 because alternate interior angles are the same. Then solve for x.</t>
  </si>
  <si>
    <t>TC088</t>
  </si>
  <si>
    <t>4.6</t>
  </si>
  <si>
    <t>What is the circumference of a circle with a radius of 4 cm? Use pi = 3.14.</t>
  </si>
  <si>
    <t>12.56 cm</t>
  </si>
  <si>
    <t>25.12 cm</t>
  </si>
  <si>
    <t>50.24 cm</t>
  </si>
  <si>
    <t>16.0 cm</t>
  </si>
  <si>
    <t>B) 25.12 cm</t>
  </si>
  <si>
    <t>You use the formula C = 2 × pi × r. Plug in 4 for r and 3.14 for pi: 2 × 3.14 × 4 = 25.12 cm.</t>
  </si>
  <si>
    <t>Multiply 2 times 3.14 times 4.</t>
  </si>
  <si>
    <t>Use values of pi to estimate and calculate the circumference and area of circles.</t>
  </si>
  <si>
    <t>Circumference from a diameter, with π given.</t>
  </si>
  <si>
    <t>volume (that's 4.9); unstated π values</t>
  </si>
  <si>
    <t>calculate_circumference</t>
  </si>
  <si>
    <t>The diameter of a circle is 10 cm. What is its area? Use pi = 3.14.</t>
  </si>
  <si>
    <t>78.5 cm²</t>
  </si>
  <si>
    <t>31.4 cm²</t>
  </si>
  <si>
    <t>314 cm²</t>
  </si>
  <si>
    <t>15.7 cm²</t>
  </si>
  <si>
    <t>A) 78.5 cm²</t>
  </si>
  <si>
    <t>You use A = pi × r². The radius is half of 10, which is 5. So 3.14 × 5² = 3.14 × 25 = 78.5 cm².</t>
  </si>
  <si>
    <t>Divide 10 by 2 to get the radius, then multiply 3.14 times 5 times 5.</t>
  </si>
  <si>
    <t>calculate_area</t>
  </si>
  <si>
    <t>A circle has a radius of 7 cm. Estimate its circumference using pi ≈ 3.</t>
  </si>
  <si>
    <t>21 cm</t>
  </si>
  <si>
    <t>14 cm</t>
  </si>
  <si>
    <t>138 cm</t>
  </si>
  <si>
    <t>42 cm</t>
  </si>
  <si>
    <t>D) 42 cm</t>
  </si>
  <si>
    <t>You use C = 2 × pi × r. With pi ≈ 3 and r = 7, that’s 2 × 3 × 7 = 42 cm.</t>
  </si>
  <si>
    <t>Multiply 2 times 3 times 7.</t>
  </si>
  <si>
    <t>estimate_circle_measurements</t>
  </si>
  <si>
    <t>To find the area of a circle, you multiply pi by the radius squared.</t>
  </si>
  <si>
    <t>Yes, the formula for area is A = pi × r², so you multiply pi by the radius times itself.</t>
  </si>
  <si>
    <t>The area formula uses pi and the radius times the radius.</t>
  </si>
  <si>
    <t>use_pi_in_formulas</t>
  </si>
  <si>
    <t>What is the area of a circle with a radius of 3 cm? Use pi = 3.14.</t>
  </si>
  <si>
    <t>18.84 cm²</t>
  </si>
  <si>
    <t>9.42 cm²</t>
  </si>
  <si>
    <t>28.26 cm²</t>
  </si>
  <si>
    <t>56.52 cm²</t>
  </si>
  <si>
    <t>C) 28.26 cm²</t>
  </si>
  <si>
    <t>You use A = pi × r². So 3.14 × 3² = 3.14 × 9 = 28.26 cm².</t>
  </si>
  <si>
    <t>Multiply 3.14 times 3 times 3.</t>
  </si>
  <si>
    <t>TC089</t>
  </si>
  <si>
    <t>A circular garden has a diameter of 14 meters. What is the approximate circumference of the garden using pi ≈ 3.14?</t>
  </si>
  <si>
    <t>43.96 meters</t>
  </si>
  <si>
    <t>87.92 meters</t>
  </si>
  <si>
    <t>153.86 meters</t>
  </si>
  <si>
    <t>615.44 meters</t>
  </si>
  <si>
    <t>A) 43.96 meters</t>
  </si>
  <si>
    <t>You use the formula C = π × d. Plug in 3.14 for pi and 14 for the diameter: 3.14 × 14 = 43.96 meters.</t>
  </si>
  <si>
    <t>Multiply pi (3.14) by the diameter (14).</t>
  </si>
  <si>
    <t>Area from a radius, with π ≈ 22/7 or 3.14 stated in the question.</t>
  </si>
  <si>
    <t>The radius of a circular pond is 5 feet. Use pi ≈ 3.14 to estimate the area of the pond.</t>
  </si>
  <si>
    <t>31.4 square feet</t>
  </si>
  <si>
    <t>62.8 square feet</t>
  </si>
  <si>
    <t>78.5 square feet</t>
  </si>
  <si>
    <t>157 square feet</t>
  </si>
  <si>
    <t>C) 78.5 square feet</t>
  </si>
  <si>
    <t>You use the formula A = π × r². Square the radius (5² = 25), then multiply by 3.14: 3.14 × 25 = 78.5 square feet.</t>
  </si>
  <si>
    <t>Square the radius (5 × 5), then multiply by 3.14.</t>
  </si>
  <si>
    <t>A circular track has a circumference of about 94.2 meters. Use pi ≈ 3.14 to estimate the diameter of the track.</t>
  </si>
  <si>
    <t>15 meters</t>
  </si>
  <si>
    <t>47.1 meters</t>
  </si>
  <si>
    <t>295.8 meters</t>
  </si>
  <si>
    <t>30 meters</t>
  </si>
  <si>
    <t>D) 30 meters</t>
  </si>
  <si>
    <t>You use the formula C = π × d. Rearrange to d = C ÷ π. Divide 94.2 by 3.14: 94.2 ÷ 3.14 = 30 meters.</t>
  </si>
  <si>
    <t>Divide the circumference (94.2) by 3.14 to find the diameter.</t>
  </si>
  <si>
    <t>The area of a circle is about 153.86 square inches when pi is approximated as 3.14. What is the radius of the circle?</t>
  </si>
  <si>
    <t>14 inches</t>
  </si>
  <si>
    <t>7 inches</t>
  </si>
  <si>
    <t>24.5 inches</t>
  </si>
  <si>
    <t>49 inches</t>
  </si>
  <si>
    <t>B) 7 inches</t>
  </si>
  <si>
    <t>You use A = π × r². First divide the area by pi: 153.86 ÷ 3.14 = 49. Then take the square root of 49, which is 7 inches.</t>
  </si>
  <si>
    <t>Divide the area by 3.14, then find the number that squares to that result.</t>
  </si>
  <si>
    <t>To find the area of a circle with radius 6, you can use the formula A = π × r² with pi ≈ 3.14.</t>
  </si>
  <si>
    <t>Yes, the correct formula for the area of a circle is A = π × r². Using pi ≈ 3.14 and r = 6 gives A = 3.14 × 36 = 113.04 square units.</t>
  </si>
  <si>
    <t>The area formula uses pi times radius squared.</t>
  </si>
  <si>
    <t>TC090</t>
  </si>
  <si>
    <t>A circular garden has a diameter of 14 meters. What is the approximate circumference of the garden using 22/7 for pi?</t>
  </si>
  <si>
    <t>22 meters</t>
  </si>
  <si>
    <t>88 meters</t>
  </si>
  <si>
    <t>44 meters</t>
  </si>
  <si>
    <t>154 meters</t>
  </si>
  <si>
    <t>C) 44 meters</t>
  </si>
  <si>
    <t>You use the formula C = πd. With d = 14 and π ≈ 22/7, C = (22/7) × 14 = 44 meters. The 14 cancels with the 7 to give 2, then 2 × 22 = 44.</t>
  </si>
  <si>
    <t>Circumference means the distance around. Use C = πd and replace d with 14 and π with 22/7.</t>
  </si>
  <si>
    <t>Go from circumference to area (find the radius first).</t>
  </si>
  <si>
    <t>A student calculates the area of a circle with radius 10 cm using 3.14 for pi. They write: 3.14 × 10 = 31.4 cm². What is the correct area?</t>
  </si>
  <si>
    <t>62.8 cm²</t>
  </si>
  <si>
    <t>628 cm²</t>
  </si>
  <si>
    <t>A) 314 cm²</t>
  </si>
  <si>
    <t>You must use A = πr². The radius squared is 10² = 100, so 3.14 × 100 = 314 cm². The student forgot to square the radius.</t>
  </si>
  <si>
    <t>Area means how much space inside. You need to square the radius first: 10 times 10, then multiply by pi.</t>
  </si>
  <si>
    <t>A circular pond has a circumference of approximately 66 feet. Using 22/7 for pi, what is the radius of the pond?</t>
  </si>
  <si>
    <t>21 feet</t>
  </si>
  <si>
    <t>10.5 feet</t>
  </si>
  <si>
    <t>33 feet</t>
  </si>
  <si>
    <t>132 feet</t>
  </si>
  <si>
    <t>B) 10.5 feet</t>
  </si>
  <si>
    <t>Start with C = 2πr. Plug in 66 for C and 22/7 for π: 66 = 2 × (22/7) × r. Simplify: 66 = (44/7)r. Multiply both sides by 7: 462 = 44r. Divide by 44: r = 10.5 feet.</t>
  </si>
  <si>
    <t>Start with the circumference formula and solve for r. Replace C with 66 and π with 22/7.</t>
  </si>
  <si>
    <t>A pizza has a diameter of 16 inches. About how many square inches of pizza are there? Use 3.14 for pi.</t>
  </si>
  <si>
    <t>50.24 in²</t>
  </si>
  <si>
    <t>100.48 in²</t>
  </si>
  <si>
    <t>803.84 in²</t>
  </si>
  <si>
    <t>200.96 in²</t>
  </si>
  <si>
    <t>D) 200.96 in²</t>
  </si>
  <si>
    <t>First find the radius: 16 ÷ 2 = 8 inches. Then use A = πr²: 3.14 × 8² = 3.14 × 64 = 200.96 in².</t>
  </si>
  <si>
    <t>Find the radius by dividing the diameter by 2. Then square it and multiply by pi.</t>
  </si>
  <si>
    <t>Using 3.14 for pi, the circumference of a circle is about 37.68 cm. A student says the area is about 113.04 cm². Is this correct?</t>
  </si>
  <si>
    <t>You find the radius from C = 2πr: 37.68 = 2 × 3.14 × r → r = 6 cm. Then A = πr² = 3.14 × 36 = 113.04 cm². The student is correct.</t>
  </si>
  <si>
    <t>Use the circumference to find the radius, then use that radius to find the area.</t>
  </si>
  <si>
    <t>TC120</t>
  </si>
  <si>
    <t>5.5</t>
  </si>
  <si>
    <t>A store tracks how many pairs of shoes it sells each day for a week: 15, 18, 16, 17, 15, 16, 15. The manager wants to report the most common number of shoes sold in a day. Which measure should he use?</t>
  </si>
  <si>
    <t>Mode</t>
  </si>
  <si>
    <t>Mean</t>
  </si>
  <si>
    <t>Median</t>
  </si>
  <si>
    <t>Range</t>
  </si>
  <si>
    <t>A) Mode</t>
  </si>
  <si>
    <t>The mode tells us the value that appears most often. Since the manager wants to know the most common number of shoes sold, the mode (15) is the correct measure to use.</t>
  </si>
  <si>
    <t>The question asks for the number that happens most often. Which measure finds that?</t>
  </si>
  <si>
    <t>Select and justify a measure of central tendency (mean, median, or mode) that best represents a set of data.</t>
  </si>
  <si>
    <t>Choose and justify the measure for a real decision.</t>
  </si>
  <si>
    <t>the word 'best' in the question (the agent rejects questions that use it)</t>
  </si>
  <si>
    <t>select_mean_median_mode</t>
  </si>
  <si>
    <t>A student calculated the mean of the data set 4, 5, 6, 7, 100 and got 24.4. They said this mean represents what most of the data values are like. Is this reasoning correct?</t>
  </si>
  <si>
    <t>The mean is 24.4, but this is much higher than most of the data values because the outlier (100) pulls it up. The mean does not represent what most of the values are like, so the reasoning is incorrect.</t>
  </si>
  <si>
    <t>Calculate the mean. Then look at the data: is 24.4 close to most of the numbers?</t>
  </si>
  <si>
    <t>justify_central_tendency</t>
  </si>
  <si>
    <t>A teacher records test scores for a class: 55, 60, 65, 70, 72, 73, 74, 75, 76, 78, 80. The distribution is nearly symmetric with no outliers. Which measure of central tendency would give a fair summary of the class performance?</t>
  </si>
  <si>
    <t>Mode, because it shows the score that most students got.</t>
  </si>
  <si>
    <t>Median, because the data has an outlier.</t>
  </si>
  <si>
    <t>Range, because it shows how spread out the scores are.</t>
  </si>
  <si>
    <t>Mean, because the data is symmetric and has no extreme values.</t>
  </si>
  <si>
    <t>D) Mean, because the data is symmetric and has no extreme values.</t>
  </si>
  <si>
    <t>When data is symmetric and has no outliers, the mean is a good measure of center because it uses all values and reflects the overall performance fairly. The mean and median will be very close in this case.</t>
  </si>
  <si>
    <t>Check if the data is balanced on both sides and if any number is much higher or lower than the rest.</t>
  </si>
  <si>
    <t>A basketball player scored the following points in 7 games: 2, 3, 3, 3, 4, 5, 18. One score is much higher than the others. Which measure of central tendency would give the most accurate summary of her typical performance?</t>
  </si>
  <si>
    <t>B) Median</t>
  </si>
  <si>
    <t>The median is the middle value when data is ordered, and it is not affected by extreme values. Since 18 is much higher than the other scores, it will pull the mean up and make it less representative. The mode (3) appears most often, but it ignores higher scores. The median (4) best reflects the typical performance.</t>
  </si>
  <si>
    <t>Put the numbers in order. The score that stands out is much higher than the rest, so think about which measure isn't changed by that big number.</t>
  </si>
  <si>
    <t>Jamie recorded the number of books read by students in her book club over the summer: 3, 5, 4, 3, 2, 15, 4. One value is much higher than the others. Jamie wants to report a measure that represents a typical number of books read, without being strongly affected by the unusually high value. Which measure should she use?</t>
  </si>
  <si>
    <t>C) Median</t>
  </si>
  <si>
    <t>The median is the best choice because it is not strongly affected by the outlier (15). It gives a better representation of the typical number of books read. The mean would be pulled higher by the outlier, making it less accurate for typical values.</t>
  </si>
  <si>
    <t>Look for the number in the middle when the data is ordered. The high value of 15 should not control the result.</t>
  </si>
  <si>
    <t>kind</t>
  </si>
  <si>
    <t>status</t>
  </si>
  <si>
    <t>asked</t>
  </si>
  <si>
    <t>returned</t>
  </si>
  <si>
    <t>complete?</t>
  </si>
  <si>
    <t>drafted by AI</t>
  </si>
  <si>
    <t>passed format check</t>
  </si>
  <si>
    <t>format pass rate</t>
  </si>
  <si>
    <t>checked by checker</t>
  </si>
  <si>
    <t>checker agreed</t>
  </si>
  <si>
    <t>checker agreement</t>
  </si>
  <si>
    <t>rejected by checker</t>
  </si>
  <si>
    <t>attempts</t>
  </si>
  <si>
    <t>seconds</t>
  </si>
  <si>
    <t>letter balance</t>
  </si>
  <si>
    <t>true/false</t>
  </si>
  <si>
    <t>retrieval score</t>
  </si>
  <si>
    <t>expected behaviour</t>
  </si>
  <si>
    <t>behaviour met?</t>
  </si>
  <si>
    <t>warnings or error</t>
  </si>
  <si>
    <t>normal</t>
  </si>
  <si>
    <t>ok</t>
  </si>
  <si>
    <t>Y</t>
  </si>
  <si>
    <t>5 questions</t>
  </si>
  <si>
    <t>1 question(s) rejected by the verifier and regenerated</t>
  </si>
  <si>
    <t>5 questions, each answerable without a picture</t>
  </si>
  <si>
    <t>TC142</t>
  </si>
  <si>
    <t>9.9</t>
  </si>
  <si>
    <t>edge: expect error</t>
  </si>
  <si>
    <t>error: QuizGenerationError: No sub-unit matching '9.9'.</t>
  </si>
  <si>
    <t>N</t>
  </si>
  <si>
    <t>A clear error saying the topic doesn't exist, and no quiz</t>
  </si>
  <si>
    <t>QuizGenerationError: No sub-unit matching '9.9'.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</si>
</sst>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name val="Calibri"/>
      <family val="2"/>
    </font>
    <font>
      <b/>
      <sz val="11"/>
      <color rgb="FFFFFFFF"/>
      <name val="Calibri"/>
      <family val="2"/>
    </font>
    <font>
      <b/>
      <sz val="16"/>
      <color rgb="FF1C7350"/>
      <name val="Calibri"/>
      <family val="2"/>
    </font>
    <font>
      <b/>
      <sz val="11"/>
      <name val="Calibri"/>
      <family val="2"/>
    </font>
  </fonts>
  <fills count="5">
    <fill>
      <patternFill patternType="none"/>
    </fill>
    <fill>
      <patternFill patternType="gray125"/>
    </fill>
    <fill>
      <patternFill patternType="solid">
        <fgColor rgb="FF1C7350"/>
        <bgColor indexed="64"/>
      </patternFill>
    </fill>
    <fill>
      <patternFill patternType="solid">
        <fgColor rgb="FFEAF4EE"/>
        <bgColor indexed="64"/>
      </patternFill>
    </fill>
    <fill>
      <patternFill patternType="solid">
        <fgColor rgb="FFFFFBE6"/>
        <bgColor indexed="64"/>
      </patternFill>
    </fill>
  </fills>
  <borders count="2">
    <border>
      <left/>
      <right/>
      <top/>
      <bottom/>
      <diagonal/>
    </border>
    <border>
      <left style="thin">
        <color rgb="FFD0D7D3"/>
      </left>
      <right style="thin">
        <color rgb="FFD0D7D3"/>
      </right>
      <top style="thin">
        <color rgb="FFD0D7D3"/>
      </top>
      <bottom style="thin">
        <color rgb="FFD0D7D3"/>
      </bottom>
      <diagonal/>
    </border>
  </borders>
  <cellStyleXfs count="1">
    <xf numFmtId="0" fontId="0" fillId="0" borderId="0"/>
  </cellStyleXfs>
  <cellXfs count="10">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2" fillId="0" borderId="0" xfId="0" applyFont="1"/>
    <xf numFmtId="0" fontId="3" fillId="3" borderId="1" xfId="0" applyFont="1" applyFill="1" applyBorder="1" applyAlignment="1">
      <alignment vertical="top" wrapText="1"/>
    </xf>
    <xf numFmtId="0" fontId="3" fillId="0" borderId="0" xfId="0" applyFont="1" applyAlignment="1">
      <alignment vertical="top" wrapText="1"/>
    </xf>
    <xf numFmtId="49" fontId="0" fillId="0" borderId="1" xfId="0" applyNumberFormat="1" applyBorder="1" applyAlignment="1">
      <alignment vertical="top" wrapText="1"/>
    </xf>
    <xf numFmtId="9" fontId="0" fillId="0" borderId="1" xfId="0" applyNumberFormat="1" applyBorder="1" applyAlignment="1">
      <alignment horizontal="center" vertical="top"/>
    </xf>
    <xf numFmtId="164" fontId="0" fillId="0" borderId="1" xfId="0" applyNumberFormat="1" applyBorder="1" applyAlignment="1">
      <alignment horizontal="center" vertical="top"/>
    </xf>
    <xf numFmtId="0" fontId="3" fillId="4" borderId="1" xfId="0" applyFont="1" applyFill="1" applyBorder="1" applyAlignment="1">
      <alignment horizontal="center" vertical="top"/>
    </xf>
  </cellXfs>
  <cellStyles count="1">
    <cellStyle name="Normal" xfId="0" builtinId="0"/>
  </cellStyles>
  <dxfs count="6">
    <dxf>
      <font>
        <b/>
        <color rgb="FFB42318"/>
      </font>
      <fill>
        <patternFill patternType="solid">
          <bgColor rgb="FFFDE4E1"/>
        </patternFill>
      </fill>
    </dxf>
    <dxf>
      <font>
        <b/>
        <color rgb="FF1C7350"/>
      </font>
      <fill>
        <patternFill patternType="solid">
          <bgColor rgb="FFDFF3E6"/>
        </patternFill>
      </fill>
    </dxf>
    <dxf>
      <font>
        <b/>
        <color rgb="FFB42318"/>
      </font>
      <fill>
        <patternFill patternType="solid">
          <bgColor rgb="FFFDE4E1"/>
        </patternFill>
      </fill>
    </dxf>
    <dxf>
      <font>
        <b/>
        <color rgb="FF1C7350"/>
      </font>
      <fill>
        <patternFill patternType="solid">
          <bgColor rgb="FFDFF3E6"/>
        </patternFill>
      </fill>
    </dxf>
    <dxf>
      <font>
        <b/>
        <color rgb="FFB42318"/>
      </font>
      <fill>
        <patternFill patternType="solid">
          <bgColor rgb="FFFDE4E1"/>
        </patternFill>
      </fill>
    </dxf>
    <dxf>
      <font>
        <b/>
        <color rgb="FF1C7350"/>
      </font>
      <fill>
        <patternFill patternType="solid">
          <bgColor rgb="FFDFF3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Your grades against their targets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Summary!$D$34</c:f>
              <c:strCache>
                <c:ptCount val="1"/>
                <c:pt idx="0">
                  <c:v>Target</c:v>
                </c:pt>
              </c:strCache>
            </c:strRef>
          </c:tx>
          <c:spPr>
            <a:solidFill>
              <a:schemeClr val="accent1"/>
            </a:solidFill>
            <a:ln>
              <a:noFill/>
            </a:ln>
            <a:effectLst/>
          </c:spPr>
          <c:invertIfNegative val="0"/>
          <c:cat>
            <c:strRef>
              <c:f>Summary!$A$35:$B$41</c:f>
              <c:strCache>
                <c:ptCount val="7"/>
                <c:pt idx="0">
                  <c:v>Correct key</c:v>
                </c:pt>
                <c:pt idx="1">
                  <c:v>One right answer</c:v>
                </c:pt>
                <c:pt idx="2">
                  <c:v>On topic</c:v>
                </c:pt>
                <c:pt idx="3">
                  <c:v>Right level</c:v>
                </c:pt>
                <c:pt idx="4">
                  <c:v>Good wrong answers</c:v>
                </c:pt>
                <c:pt idx="5">
                  <c:v>Good explanation</c:v>
                </c:pt>
                <c:pt idx="6">
                  <c:v>Good hint</c:v>
                </c:pt>
              </c:strCache>
            </c:strRef>
          </c:cat>
          <c:val>
            <c:numRef>
              <c:f>Summary!$D$35:$D$41</c:f>
              <c:numCache>
                <c:formatCode>0%</c:formatCode>
                <c:ptCount val="7"/>
                <c:pt idx="0">
                  <c:v>0.98</c:v>
                </c:pt>
                <c:pt idx="1">
                  <c:v>0.9</c:v>
                </c:pt>
                <c:pt idx="2">
                  <c:v>0.9</c:v>
                </c:pt>
                <c:pt idx="3">
                  <c:v>0.9</c:v>
                </c:pt>
                <c:pt idx="4">
                  <c:v>0.9</c:v>
                </c:pt>
                <c:pt idx="5">
                  <c:v>0.9</c:v>
                </c:pt>
                <c:pt idx="6">
                  <c:v>0.9</c:v>
                </c:pt>
              </c:numCache>
            </c:numRef>
          </c:val>
          <c:extLst>
            <c:ext xmlns:c16="http://schemas.microsoft.com/office/drawing/2014/chart" uri="{C3380CC4-5D6E-409C-BE32-E72D297353CC}">
              <c16:uniqueId val="{00000000-D1BB-48AE-AA39-564C6564D5C8}"/>
            </c:ext>
          </c:extLst>
        </c:ser>
        <c:dLbls>
          <c:showLegendKey val="0"/>
          <c:showVal val="0"/>
          <c:showCatName val="0"/>
          <c:showSerName val="0"/>
          <c:showPercent val="0"/>
          <c:showBubbleSize val="0"/>
        </c:dLbls>
        <c:gapWidth val="182"/>
        <c:axId val="596631712"/>
        <c:axId val="566362320"/>
      </c:barChart>
      <c:catAx>
        <c:axId val="596631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362320"/>
        <c:crosses val="autoZero"/>
        <c:auto val="1"/>
        <c:lblAlgn val="ctr"/>
        <c:lblOffset val="100"/>
        <c:noMultiLvlLbl val="0"/>
      </c:catAx>
      <c:valAx>
        <c:axId val="56636232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3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45</xdr:row>
      <xdr:rowOff>0</xdr:rowOff>
    </xdr:from>
    <xdr:to>
      <xdr:col>4</xdr:col>
      <xdr:colOff>2174240</xdr:colOff>
      <xdr:row>65</xdr:row>
      <xdr:rowOff>152400</xdr:rowOff>
    </xdr:to>
    <xdr:graphicFrame macro="">
      <xdr:nvGraphicFramePr>
        <xdr:cNvPr id="2" name="Chart 1">
          <a:extLst>
            <a:ext uri="{FF2B5EF4-FFF2-40B4-BE49-F238E27FC236}">
              <a16:creationId xmlns:a16="http://schemas.microsoft.com/office/drawing/2014/main" id="{4F9A4D0D-2507-CDA0-AB2D-C38C57934E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3"/>
  <sheetViews>
    <sheetView tabSelected="1" workbookViewId="0"/>
  </sheetViews>
  <sheetFormatPr defaultRowHeight="14.4" x14ac:dyDescent="0.3"/>
  <cols>
    <col min="1" max="1" width="34" customWidth="1"/>
    <col min="2" max="2" width="12" customWidth="1"/>
    <col min="3" max="3" width="14" customWidth="1"/>
    <col min="4" max="4" width="12" customWidth="1"/>
    <col min="5" max="5" width="60" customWidth="1"/>
  </cols>
  <sheetData>
    <row r="1" spans="1:2" ht="21" x14ac:dyDescent="0.4">
      <c r="A1" s="3" t="s">
        <v>0</v>
      </c>
    </row>
    <row r="3" spans="1:2" x14ac:dyDescent="0.3">
      <c r="A3" s="5" t="s">
        <v>1</v>
      </c>
    </row>
    <row r="4" spans="1:2" x14ac:dyDescent="0.3">
      <c r="A4" t="s">
        <v>2</v>
      </c>
    </row>
    <row r="5" spans="1:2" x14ac:dyDescent="0.3">
      <c r="A5" t="s">
        <v>3</v>
      </c>
    </row>
    <row r="6" spans="1:2" x14ac:dyDescent="0.3">
      <c r="A6" t="s">
        <v>4</v>
      </c>
    </row>
    <row r="7" spans="1:2" x14ac:dyDescent="0.3">
      <c r="A7" t="s">
        <v>5</v>
      </c>
    </row>
    <row r="9" spans="1:2" x14ac:dyDescent="0.3">
      <c r="A9" s="5" t="s">
        <v>6</v>
      </c>
    </row>
    <row r="10" spans="1:2" x14ac:dyDescent="0.3">
      <c r="A10" s="4" t="s">
        <v>7</v>
      </c>
      <c r="B10" t="s">
        <v>8</v>
      </c>
    </row>
    <row r="11" spans="1:2" x14ac:dyDescent="0.3">
      <c r="A11" s="4" t="s">
        <v>9</v>
      </c>
      <c r="B11" t="s">
        <v>10</v>
      </c>
    </row>
    <row r="12" spans="1:2" x14ac:dyDescent="0.3">
      <c r="A12" s="4" t="s">
        <v>11</v>
      </c>
      <c r="B12" t="s">
        <v>12</v>
      </c>
    </row>
    <row r="13" spans="1:2" x14ac:dyDescent="0.3">
      <c r="A13" s="4" t="s">
        <v>13</v>
      </c>
      <c r="B13" t="s">
        <v>14</v>
      </c>
    </row>
    <row r="14" spans="1:2" x14ac:dyDescent="0.3">
      <c r="A14" s="4" t="s">
        <v>15</v>
      </c>
      <c r="B14" t="s">
        <v>16</v>
      </c>
    </row>
    <row r="15" spans="1:2" x14ac:dyDescent="0.3">
      <c r="A15" s="4" t="s">
        <v>17</v>
      </c>
      <c r="B15" t="s">
        <v>18</v>
      </c>
    </row>
    <row r="16" spans="1:2" x14ac:dyDescent="0.3">
      <c r="A16" s="4" t="s">
        <v>19</v>
      </c>
      <c r="B16" t="s">
        <v>20</v>
      </c>
    </row>
    <row r="17" spans="1:5" x14ac:dyDescent="0.3">
      <c r="A17" s="4" t="s">
        <v>21</v>
      </c>
      <c r="B17" t="s">
        <v>22</v>
      </c>
    </row>
    <row r="18" spans="1:5" x14ac:dyDescent="0.3">
      <c r="A18" s="4" t="s">
        <v>23</v>
      </c>
      <c r="B18" t="s">
        <v>24</v>
      </c>
    </row>
    <row r="19" spans="1:5" x14ac:dyDescent="0.3">
      <c r="A19" s="4" t="s">
        <v>25</v>
      </c>
      <c r="B19" t="s">
        <v>26</v>
      </c>
    </row>
    <row r="20" spans="1:5" x14ac:dyDescent="0.3">
      <c r="A20" s="4" t="s">
        <v>27</v>
      </c>
      <c r="B20" t="s">
        <v>28</v>
      </c>
    </row>
    <row r="22" spans="1:5" ht="28.8" x14ac:dyDescent="0.3">
      <c r="A22" s="5" t="s">
        <v>29</v>
      </c>
    </row>
    <row r="23" spans="1:5" x14ac:dyDescent="0.3">
      <c r="A23" s="1" t="s">
        <v>30</v>
      </c>
      <c r="B23" s="1" t="s">
        <v>31</v>
      </c>
      <c r="C23" s="1" t="s">
        <v>32</v>
      </c>
      <c r="D23" s="1" t="s">
        <v>33</v>
      </c>
      <c r="E23" s="1" t="s">
        <v>34</v>
      </c>
    </row>
    <row r="24" spans="1:5" x14ac:dyDescent="0.3">
      <c r="A24" s="4" t="s">
        <v>35</v>
      </c>
      <c r="B24" s="7">
        <f>IFERROR(COUNTIFS(Cases!$D$2:$D$16,"normal",Cases!$H$2:$H$16,"Y")/COUNTIF(Cases!$D$2:$D$16,"normal"),"")</f>
        <v>1</v>
      </c>
      <c r="C24" s="7">
        <v>1</v>
      </c>
      <c r="D24" s="2" t="str">
        <f>IF(B24="","",IF(B24&gt;=C24,"PASS","FAIL"))</f>
        <v>PASS</v>
      </c>
      <c r="E24" s="2" t="s">
        <v>36</v>
      </c>
    </row>
    <row r="25" spans="1:5" ht="28.8" x14ac:dyDescent="0.3">
      <c r="A25" s="4" t="s">
        <v>37</v>
      </c>
      <c r="B25" s="7">
        <f>IFERROR(SUM(Cases!$J$2:$J$16)/SUM(Cases!$I$2:$I$16),"")</f>
        <v>0.92207792207792205</v>
      </c>
      <c r="C25" s="7">
        <v>0.9</v>
      </c>
      <c r="D25" s="2" t="str">
        <f>IF(B25="","",IF(B25&gt;=C25,"PASS","FAIL"))</f>
        <v>PASS</v>
      </c>
      <c r="E25" s="2" t="s">
        <v>38</v>
      </c>
    </row>
    <row r="26" spans="1:5" ht="28.8" x14ac:dyDescent="0.3">
      <c r="A26" s="4" t="s">
        <v>39</v>
      </c>
      <c r="B26" s="7">
        <f>IFERROR(SUM(Cases!$M$2:$M$16)/SUM(Cases!$L$2:$L$16),"")</f>
        <v>0.9859154929577465</v>
      </c>
      <c r="C26" s="7">
        <v>0.9</v>
      </c>
      <c r="D26" s="2" t="str">
        <f>IF(B26="","",IF(B26&gt;=C26,"PASS","FAIL"))</f>
        <v>PASS</v>
      </c>
      <c r="E26" s="2" t="s">
        <v>40</v>
      </c>
    </row>
    <row r="27" spans="1:5" x14ac:dyDescent="0.3">
      <c r="A27" s="4" t="s">
        <v>41</v>
      </c>
      <c r="B27" s="8">
        <f>IFERROR(AVERAGEIF(Cases!$D$2:$D$16,"normal",Cases!$P$2:$P$16),"")</f>
        <v>1.4285714285714286</v>
      </c>
      <c r="C27" s="8">
        <v>3</v>
      </c>
      <c r="D27" s="2" t="str">
        <f>IF(B27="","",IF(B27&lt;=C27,"PASS","FAIL"))</f>
        <v>PASS</v>
      </c>
      <c r="E27" s="2" t="s">
        <v>42</v>
      </c>
    </row>
    <row r="28" spans="1:5" ht="28.8" x14ac:dyDescent="0.3">
      <c r="A28" s="4" t="s">
        <v>43</v>
      </c>
      <c r="B28" s="7">
        <f>IF(COUNT(Cases!$R$2:$R$16)=0,"",MAX(Cases!$R$2:$R$16))</f>
        <v>0.4</v>
      </c>
      <c r="C28" s="7">
        <v>0.6</v>
      </c>
      <c r="D28" s="2" t="str">
        <f>IF(B28="","",IF(B28&lt;=C28,"PASS","FAIL"))</f>
        <v>PASS</v>
      </c>
      <c r="E28" s="2" t="s">
        <v>44</v>
      </c>
    </row>
    <row r="29" spans="1:5" ht="28.8" x14ac:dyDescent="0.3">
      <c r="A29" s="4" t="s">
        <v>45</v>
      </c>
      <c r="B29" s="7">
        <f>IFERROR(SUM(Cases!$S$2:$S$16)/SUM(Cases!$G$2:$G$16),"")</f>
        <v>0.18571428571428572</v>
      </c>
      <c r="C29" s="7">
        <v>0.3</v>
      </c>
      <c r="D29" s="2" t="str">
        <f>IF(B29="","",IF(B29&lt;=C29,"PASS","FAIL"))</f>
        <v>PASS</v>
      </c>
      <c r="E29" s="2" t="s">
        <v>46</v>
      </c>
    </row>
    <row r="30" spans="1:5" ht="28.8" x14ac:dyDescent="0.3">
      <c r="A30" s="4" t="s">
        <v>47</v>
      </c>
      <c r="B30" s="7">
        <f>IFERROR(COUNTIFS(Cases!$D$2:$D$16,"edge: expect error",Cases!$V$2:$V$16,"Y")/COUNTIF(Cases!$D$2:$D$16,"edge: expect error"),"")</f>
        <v>1</v>
      </c>
      <c r="C30" s="7">
        <v>1</v>
      </c>
      <c r="D30" s="2" t="str">
        <f>IF(B30="","",IF(B30&gt;=C30,"PASS","FAIL"))</f>
        <v>PASS</v>
      </c>
      <c r="E30" s="2" t="s">
        <v>48</v>
      </c>
    </row>
    <row r="31" spans="1:5" x14ac:dyDescent="0.3">
      <c r="A31" s="4" t="s">
        <v>49</v>
      </c>
      <c r="B31" s="8">
        <f>IFERROR(AVERAGEIF(Cases!$D$2:$D$16,"normal",Cases!$Q$2:$Q$16),"")</f>
        <v>25.914285714285715</v>
      </c>
      <c r="C31" s="8"/>
      <c r="D31" s="2" t="s">
        <v>50</v>
      </c>
      <c r="E31" s="2" t="s">
        <v>51</v>
      </c>
    </row>
    <row r="33" spans="1:5" x14ac:dyDescent="0.3">
      <c r="A33" s="5" t="s">
        <v>52</v>
      </c>
    </row>
    <row r="34" spans="1:5" x14ac:dyDescent="0.3">
      <c r="A34" s="1" t="s">
        <v>53</v>
      </c>
      <c r="B34" s="1" t="s">
        <v>31</v>
      </c>
      <c r="C34" s="1" t="s">
        <v>54</v>
      </c>
      <c r="D34" s="1" t="s">
        <v>32</v>
      </c>
      <c r="E34" s="1" t="s">
        <v>33</v>
      </c>
    </row>
    <row r="35" spans="1:5" x14ac:dyDescent="0.3">
      <c r="A35" s="4" t="s">
        <v>55</v>
      </c>
      <c r="B35" s="7" t="str">
        <f>IFERROR(COUNTIF(Results!$P$2:$P$71,"Y")/(COUNTIF(Results!$P$2:$P$71,"Y")+COUNTIF(Results!$P$2:$P$71,"N")),"")</f>
        <v/>
      </c>
      <c r="C35" s="2">
        <f>COUNTIF(Results!$P$2:$P$71,"Y")+COUNTIF(Results!$P$2:$P$71,"N")</f>
        <v>0</v>
      </c>
      <c r="D35" s="7">
        <v>0.98</v>
      </c>
      <c r="E35" s="2" t="str">
        <f t="shared" ref="E35:E41" si="0">IF(C35=0,"not graded yet",IF(B35&gt;=D35,"PASS","FAIL"))</f>
        <v>not graded yet</v>
      </c>
    </row>
    <row r="36" spans="1:5" x14ac:dyDescent="0.3">
      <c r="A36" s="4" t="s">
        <v>56</v>
      </c>
      <c r="B36" s="7" t="str">
        <f>IFERROR(COUNTIF(Results!$Q$2:$Q$71,"Y")/(COUNTIF(Results!$Q$2:$Q$71,"Y")+COUNTIF(Results!$Q$2:$Q$71,"N")),"")</f>
        <v/>
      </c>
      <c r="C36" s="2">
        <f>COUNTIF(Results!$Q$2:$Q$71,"Y")+COUNTIF(Results!$Q$2:$Q$71,"N")</f>
        <v>0</v>
      </c>
      <c r="D36" s="7">
        <v>0.9</v>
      </c>
      <c r="E36" s="2" t="str">
        <f t="shared" si="0"/>
        <v>not graded yet</v>
      </c>
    </row>
    <row r="37" spans="1:5" x14ac:dyDescent="0.3">
      <c r="A37" s="4" t="s">
        <v>57</v>
      </c>
      <c r="B37" s="7" t="str">
        <f>IFERROR(COUNTIF(Results!$R$2:$R$71,"Y")/(COUNTIF(Results!$R$2:$R$71,"Y")+COUNTIF(Results!$R$2:$R$71,"N")),"")</f>
        <v/>
      </c>
      <c r="C37" s="2">
        <f>COUNTIF(Results!$R$2:$R$71,"Y")+COUNTIF(Results!$R$2:$R$71,"N")</f>
        <v>0</v>
      </c>
      <c r="D37" s="7">
        <v>0.9</v>
      </c>
      <c r="E37" s="2" t="str">
        <f t="shared" si="0"/>
        <v>not graded yet</v>
      </c>
    </row>
    <row r="38" spans="1:5" x14ac:dyDescent="0.3">
      <c r="A38" s="4" t="s">
        <v>58</v>
      </c>
      <c r="B38" s="7" t="str">
        <f>IFERROR(COUNTIF(Results!$S$2:$S$71,"Y")/(COUNTIF(Results!$S$2:$S$71,"Y")+COUNTIF(Results!$S$2:$S$71,"N")),"")</f>
        <v/>
      </c>
      <c r="C38" s="2">
        <f>COUNTIF(Results!$S$2:$S$71,"Y")+COUNTIF(Results!$S$2:$S$71,"N")</f>
        <v>0</v>
      </c>
      <c r="D38" s="7">
        <v>0.9</v>
      </c>
      <c r="E38" s="2" t="str">
        <f t="shared" si="0"/>
        <v>not graded yet</v>
      </c>
    </row>
    <row r="39" spans="1:5" x14ac:dyDescent="0.3">
      <c r="A39" s="4" t="s">
        <v>59</v>
      </c>
      <c r="B39" s="7" t="str">
        <f>IFERROR(COUNTIF(Results!$T$2:$T$71,"Y")/(COUNTIF(Results!$T$2:$T$71,"Y")+COUNTIF(Results!$T$2:$T$71,"N")),"")</f>
        <v/>
      </c>
      <c r="C39" s="2">
        <f>COUNTIF(Results!$T$2:$T$71,"Y")+COUNTIF(Results!$T$2:$T$71,"N")</f>
        <v>0</v>
      </c>
      <c r="D39" s="7">
        <v>0.9</v>
      </c>
      <c r="E39" s="2" t="str">
        <f t="shared" si="0"/>
        <v>not graded yet</v>
      </c>
    </row>
    <row r="40" spans="1:5" x14ac:dyDescent="0.3">
      <c r="A40" s="4" t="s">
        <v>60</v>
      </c>
      <c r="B40" s="7" t="str">
        <f>IFERROR(COUNTIF(Results!$U$2:$U$71,"Y")/(COUNTIF(Results!$U$2:$U$71,"Y")+COUNTIF(Results!$U$2:$U$71,"N")),"")</f>
        <v/>
      </c>
      <c r="C40" s="2">
        <f>COUNTIF(Results!$U$2:$U$71,"Y")+COUNTIF(Results!$U$2:$U$71,"N")</f>
        <v>0</v>
      </c>
      <c r="D40" s="7">
        <v>0.9</v>
      </c>
      <c r="E40" s="2" t="str">
        <f t="shared" si="0"/>
        <v>not graded yet</v>
      </c>
    </row>
    <row r="41" spans="1:5" x14ac:dyDescent="0.3">
      <c r="A41" s="4" t="s">
        <v>61</v>
      </c>
      <c r="B41" s="7" t="str">
        <f>IFERROR(COUNTIF(Results!$V$2:$V$71,"Y")/(COUNTIF(Results!$V$2:$V$71,"Y")+COUNTIF(Results!$V$2:$V$71,"N")),"")</f>
        <v/>
      </c>
      <c r="C41" s="2">
        <f>COUNTIF(Results!$V$2:$V$71,"Y")+COUNTIF(Results!$V$2:$V$71,"N")</f>
        <v>0</v>
      </c>
      <c r="D41" s="7">
        <v>0.9</v>
      </c>
      <c r="E41" s="2" t="str">
        <f t="shared" si="0"/>
        <v>not graded yet</v>
      </c>
    </row>
    <row r="42" spans="1:5" x14ac:dyDescent="0.3">
      <c r="A42" s="4" t="s">
        <v>62</v>
      </c>
      <c r="B42" s="2">
        <f>COUNTIFS(Results!$P$2:$P$71,"N",Results!$N$2:$N$71,"agreed")</f>
        <v>0</v>
      </c>
      <c r="C42" s="2">
        <f>COUNTIF(Results!$P$2:$P$71,"Y")+COUNTIF(Results!$P$2:$P$71,"N")</f>
        <v>0</v>
      </c>
      <c r="D42" s="2">
        <v>0</v>
      </c>
      <c r="E42" s="2" t="str">
        <f>IF(C42=0,"not graded yet",IF(B42&lt;=D42,"PASS","FAIL"))</f>
        <v>not graded yet</v>
      </c>
    </row>
    <row r="43" spans="1:5" x14ac:dyDescent="0.3">
      <c r="A43" t="s">
        <v>63</v>
      </c>
    </row>
  </sheetData>
  <conditionalFormatting sqref="D1:E200">
    <cfRule type="cellIs" dxfId="5" priority="1" operator="equal">
      <formula>"PASS"</formula>
    </cfRule>
    <cfRule type="cellIs" dxfId="4" priority="2" operator="equal">
      <formula>"FAIL"</formula>
    </cfRule>
  </conditionalFormatting>
  <pageMargins left="0.5" right="0.5"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71"/>
  <sheetViews>
    <sheetView workbookViewId="0">
      <pane xSplit="4" ySplit="1" topLeftCell="E2" activePane="bottomRight" state="frozen"/>
      <selection pane="topRight"/>
      <selection pane="bottomLeft"/>
      <selection pane="bottomRight" activeCell="E2" sqref="E2"/>
    </sheetView>
  </sheetViews>
  <sheetFormatPr defaultRowHeight="14.4" x14ac:dyDescent="0.3"/>
  <cols>
    <col min="1" max="1" width="9" customWidth="1"/>
    <col min="2" max="2" width="7" customWidth="1"/>
    <col min="3" max="3" width="8" customWidth="1"/>
    <col min="4" max="4" width="5" customWidth="1"/>
    <col min="5" max="5" width="12" customWidth="1"/>
    <col min="6" max="6" width="50" customWidth="1"/>
    <col min="7" max="10" width="18" customWidth="1"/>
    <col min="11" max="11" width="16" customWidth="1"/>
    <col min="12" max="12" width="46" customWidth="1"/>
    <col min="13" max="13" width="34" customWidth="1"/>
    <col min="14" max="14" width="11" customWidth="1"/>
    <col min="15" max="15" width="10" customWidth="1"/>
    <col min="16" max="22" width="11" customWidth="1"/>
    <col min="23" max="23" width="34" customWidth="1"/>
    <col min="24" max="24" width="36" customWidth="1"/>
    <col min="25" max="26" width="34" customWidth="1"/>
    <col min="27" max="27" width="20" customWidth="1"/>
  </cols>
  <sheetData>
    <row r="1" spans="1:27" ht="43.2" x14ac:dyDescent="0.3">
      <c r="A1" s="1" t="s">
        <v>64</v>
      </c>
      <c r="B1" s="1" t="s">
        <v>65</v>
      </c>
      <c r="C1" s="1" t="s">
        <v>66</v>
      </c>
      <c r="D1" s="1" t="s">
        <v>67</v>
      </c>
      <c r="E1" s="1" t="s">
        <v>68</v>
      </c>
      <c r="F1" s="1" t="s">
        <v>69</v>
      </c>
      <c r="G1" s="1" t="s">
        <v>70</v>
      </c>
      <c r="H1" s="1" t="s">
        <v>71</v>
      </c>
      <c r="I1" s="1" t="s">
        <v>72</v>
      </c>
      <c r="J1" s="1" t="s">
        <v>73</v>
      </c>
      <c r="K1" s="1" t="s">
        <v>74</v>
      </c>
      <c r="L1" s="1" t="s">
        <v>75</v>
      </c>
      <c r="M1" s="1" t="s">
        <v>76</v>
      </c>
      <c r="N1" s="1" t="s">
        <v>77</v>
      </c>
      <c r="O1" s="1" t="s">
        <v>78</v>
      </c>
      <c r="P1" s="1" t="s">
        <v>55</v>
      </c>
      <c r="Q1" s="1" t="s">
        <v>56</v>
      </c>
      <c r="R1" s="1" t="s">
        <v>57</v>
      </c>
      <c r="S1" s="1" t="s">
        <v>58</v>
      </c>
      <c r="T1" s="1" t="s">
        <v>59</v>
      </c>
      <c r="U1" s="1" t="s">
        <v>60</v>
      </c>
      <c r="V1" s="1" t="s">
        <v>61</v>
      </c>
      <c r="W1" s="1" t="s">
        <v>79</v>
      </c>
      <c r="X1" s="1" t="s">
        <v>80</v>
      </c>
      <c r="Y1" s="1" t="s">
        <v>81</v>
      </c>
      <c r="Z1" s="1" t="s">
        <v>82</v>
      </c>
      <c r="AA1" s="1" t="s">
        <v>83</v>
      </c>
    </row>
    <row r="2" spans="1:27" ht="28.8" x14ac:dyDescent="0.3">
      <c r="A2" s="2" t="s">
        <v>84</v>
      </c>
      <c r="B2" s="6" t="s">
        <v>85</v>
      </c>
      <c r="C2" s="2" t="s">
        <v>86</v>
      </c>
      <c r="D2" s="2">
        <v>1</v>
      </c>
      <c r="E2" s="2" t="s">
        <v>87</v>
      </c>
      <c r="F2" s="2" t="s">
        <v>88</v>
      </c>
      <c r="G2" s="2" t="s">
        <v>89</v>
      </c>
      <c r="H2" s="2" t="s">
        <v>90</v>
      </c>
      <c r="I2" s="2" t="s">
        <v>91</v>
      </c>
      <c r="J2" s="2" t="s">
        <v>92</v>
      </c>
      <c r="K2" s="2" t="s">
        <v>93</v>
      </c>
      <c r="L2" s="2" t="s">
        <v>94</v>
      </c>
      <c r="M2" s="2" t="s">
        <v>95</v>
      </c>
      <c r="N2" s="2" t="s">
        <v>96</v>
      </c>
      <c r="O2" s="2" t="s">
        <v>72</v>
      </c>
      <c r="P2" s="9"/>
      <c r="Q2" s="9"/>
      <c r="R2" s="9"/>
      <c r="S2" s="9"/>
      <c r="T2" s="9"/>
      <c r="U2" s="9"/>
      <c r="V2" s="9"/>
      <c r="W2" s="2"/>
      <c r="X2" s="2" t="s">
        <v>97</v>
      </c>
      <c r="Y2" s="2" t="s">
        <v>98</v>
      </c>
      <c r="Z2" s="2" t="s">
        <v>99</v>
      </c>
      <c r="AA2" s="2" t="s">
        <v>100</v>
      </c>
    </row>
    <row r="3" spans="1:27" ht="28.8" x14ac:dyDescent="0.3">
      <c r="A3" s="2" t="s">
        <v>84</v>
      </c>
      <c r="B3" s="6" t="s">
        <v>85</v>
      </c>
      <c r="C3" s="2" t="s">
        <v>86</v>
      </c>
      <c r="D3" s="2">
        <v>2</v>
      </c>
      <c r="E3" s="2" t="s">
        <v>87</v>
      </c>
      <c r="F3" s="2" t="s">
        <v>101</v>
      </c>
      <c r="G3" s="2" t="s">
        <v>102</v>
      </c>
      <c r="H3" s="2" t="s">
        <v>103</v>
      </c>
      <c r="I3" s="2" t="s">
        <v>104</v>
      </c>
      <c r="J3" s="2" t="s">
        <v>105</v>
      </c>
      <c r="K3" s="2" t="s">
        <v>106</v>
      </c>
      <c r="L3" s="2" t="s">
        <v>107</v>
      </c>
      <c r="M3" s="2" t="s">
        <v>108</v>
      </c>
      <c r="N3" s="2" t="s">
        <v>96</v>
      </c>
      <c r="O3" s="2" t="s">
        <v>73</v>
      </c>
      <c r="P3" s="9"/>
      <c r="Q3" s="9"/>
      <c r="R3" s="9"/>
      <c r="S3" s="9"/>
      <c r="T3" s="9"/>
      <c r="U3" s="9"/>
      <c r="V3" s="9"/>
      <c r="W3" s="2"/>
      <c r="X3" s="2" t="s">
        <v>97</v>
      </c>
      <c r="Y3" s="2" t="s">
        <v>98</v>
      </c>
      <c r="Z3" s="2" t="s">
        <v>99</v>
      </c>
      <c r="AA3" s="2" t="s">
        <v>109</v>
      </c>
    </row>
    <row r="4" spans="1:27" ht="43.2" x14ac:dyDescent="0.3">
      <c r="A4" s="2" t="s">
        <v>84</v>
      </c>
      <c r="B4" s="6" t="s">
        <v>85</v>
      </c>
      <c r="C4" s="2" t="s">
        <v>86</v>
      </c>
      <c r="D4" s="2">
        <v>3</v>
      </c>
      <c r="E4" s="2" t="s">
        <v>87</v>
      </c>
      <c r="F4" s="2" t="s">
        <v>110</v>
      </c>
      <c r="G4" s="2" t="s">
        <v>111</v>
      </c>
      <c r="H4" s="2" t="s">
        <v>112</v>
      </c>
      <c r="I4" s="2" t="s">
        <v>92</v>
      </c>
      <c r="J4" s="2" t="s">
        <v>89</v>
      </c>
      <c r="K4" s="2" t="s">
        <v>113</v>
      </c>
      <c r="L4" s="2" t="s">
        <v>114</v>
      </c>
      <c r="M4" s="2" t="s">
        <v>115</v>
      </c>
      <c r="N4" s="2" t="s">
        <v>96</v>
      </c>
      <c r="O4" s="2" t="s">
        <v>70</v>
      </c>
      <c r="P4" s="9"/>
      <c r="Q4" s="9"/>
      <c r="R4" s="9"/>
      <c r="S4" s="9"/>
      <c r="T4" s="9"/>
      <c r="U4" s="9"/>
      <c r="V4" s="9"/>
      <c r="W4" s="2"/>
      <c r="X4" s="2" t="s">
        <v>97</v>
      </c>
      <c r="Y4" s="2" t="s">
        <v>98</v>
      </c>
      <c r="Z4" s="2" t="s">
        <v>99</v>
      </c>
      <c r="AA4" s="2" t="s">
        <v>116</v>
      </c>
    </row>
    <row r="5" spans="1:27" ht="43.2" x14ac:dyDescent="0.3">
      <c r="A5" s="2" t="s">
        <v>84</v>
      </c>
      <c r="B5" s="6" t="s">
        <v>85</v>
      </c>
      <c r="C5" s="2" t="s">
        <v>86</v>
      </c>
      <c r="D5" s="2">
        <v>4</v>
      </c>
      <c r="E5" s="2" t="s">
        <v>87</v>
      </c>
      <c r="F5" s="2" t="s">
        <v>117</v>
      </c>
      <c r="G5" s="2" t="s">
        <v>118</v>
      </c>
      <c r="H5" s="2" t="s">
        <v>119</v>
      </c>
      <c r="I5" s="2" t="s">
        <v>120</v>
      </c>
      <c r="J5" s="2" t="s">
        <v>121</v>
      </c>
      <c r="K5" s="2" t="s">
        <v>122</v>
      </c>
      <c r="L5" s="2" t="s">
        <v>123</v>
      </c>
      <c r="M5" s="2" t="s">
        <v>124</v>
      </c>
      <c r="N5" s="2" t="s">
        <v>96</v>
      </c>
      <c r="O5" s="2" t="s">
        <v>71</v>
      </c>
      <c r="P5" s="9"/>
      <c r="Q5" s="9"/>
      <c r="R5" s="9"/>
      <c r="S5" s="9"/>
      <c r="T5" s="9"/>
      <c r="U5" s="9"/>
      <c r="V5" s="9"/>
      <c r="W5" s="2"/>
      <c r="X5" s="2" t="s">
        <v>97</v>
      </c>
      <c r="Y5" s="2" t="s">
        <v>98</v>
      </c>
      <c r="Z5" s="2" t="s">
        <v>99</v>
      </c>
      <c r="AA5" s="2" t="s">
        <v>125</v>
      </c>
    </row>
    <row r="6" spans="1:27" ht="28.8" x14ac:dyDescent="0.3">
      <c r="A6" s="2" t="s">
        <v>84</v>
      </c>
      <c r="B6" s="6" t="s">
        <v>85</v>
      </c>
      <c r="C6" s="2" t="s">
        <v>86</v>
      </c>
      <c r="D6" s="2">
        <v>5</v>
      </c>
      <c r="E6" s="2" t="s">
        <v>126</v>
      </c>
      <c r="F6" s="2" t="s">
        <v>127</v>
      </c>
      <c r="G6" s="2" t="s">
        <v>128</v>
      </c>
      <c r="H6" s="2" t="s">
        <v>129</v>
      </c>
      <c r="I6" s="2"/>
      <c r="J6" s="2"/>
      <c r="K6" s="2" t="s">
        <v>130</v>
      </c>
      <c r="L6" s="2" t="s">
        <v>131</v>
      </c>
      <c r="M6" s="2" t="s">
        <v>132</v>
      </c>
      <c r="N6" s="2" t="s">
        <v>96</v>
      </c>
      <c r="O6" s="2" t="s">
        <v>70</v>
      </c>
      <c r="P6" s="9"/>
      <c r="Q6" s="9"/>
      <c r="R6" s="9"/>
      <c r="S6" s="9"/>
      <c r="T6" s="9"/>
      <c r="U6" s="9"/>
      <c r="V6" s="9"/>
      <c r="W6" s="2"/>
      <c r="X6" s="2" t="s">
        <v>97</v>
      </c>
      <c r="Y6" s="2" t="s">
        <v>98</v>
      </c>
      <c r="Z6" s="2" t="s">
        <v>99</v>
      </c>
      <c r="AA6" s="2" t="s">
        <v>100</v>
      </c>
    </row>
    <row r="7" spans="1:27" ht="57.6" x14ac:dyDescent="0.3">
      <c r="A7" s="2" t="s">
        <v>133</v>
      </c>
      <c r="B7" s="6" t="s">
        <v>85</v>
      </c>
      <c r="C7" s="2" t="s">
        <v>134</v>
      </c>
      <c r="D7" s="2">
        <v>1</v>
      </c>
      <c r="E7" s="2" t="s">
        <v>87</v>
      </c>
      <c r="F7" s="2" t="s">
        <v>135</v>
      </c>
      <c r="G7" s="2" t="s">
        <v>136</v>
      </c>
      <c r="H7" s="2" t="s">
        <v>137</v>
      </c>
      <c r="I7" s="2" t="s">
        <v>138</v>
      </c>
      <c r="J7" s="2" t="s">
        <v>139</v>
      </c>
      <c r="K7" s="2" t="s">
        <v>140</v>
      </c>
      <c r="L7" s="2" t="s">
        <v>141</v>
      </c>
      <c r="M7" s="2" t="s">
        <v>142</v>
      </c>
      <c r="N7" s="2" t="s">
        <v>96</v>
      </c>
      <c r="O7" s="2" t="s">
        <v>73</v>
      </c>
      <c r="P7" s="9"/>
      <c r="Q7" s="9"/>
      <c r="R7" s="9"/>
      <c r="S7" s="9"/>
      <c r="T7" s="9"/>
      <c r="U7" s="9"/>
      <c r="V7" s="9"/>
      <c r="W7" s="2"/>
      <c r="X7" s="2" t="s">
        <v>97</v>
      </c>
      <c r="Y7" s="2" t="s">
        <v>143</v>
      </c>
      <c r="Z7" s="2" t="s">
        <v>99</v>
      </c>
      <c r="AA7" s="2" t="s">
        <v>100</v>
      </c>
    </row>
    <row r="8" spans="1:27" ht="43.2" x14ac:dyDescent="0.3">
      <c r="A8" s="2" t="s">
        <v>133</v>
      </c>
      <c r="B8" s="6" t="s">
        <v>85</v>
      </c>
      <c r="C8" s="2" t="s">
        <v>134</v>
      </c>
      <c r="D8" s="2">
        <v>2</v>
      </c>
      <c r="E8" s="2" t="s">
        <v>87</v>
      </c>
      <c r="F8" s="2" t="s">
        <v>144</v>
      </c>
      <c r="G8" s="2" t="s">
        <v>145</v>
      </c>
      <c r="H8" s="2" t="s">
        <v>146</v>
      </c>
      <c r="I8" s="2" t="s">
        <v>147</v>
      </c>
      <c r="J8" s="2" t="s">
        <v>148</v>
      </c>
      <c r="K8" s="2" t="s">
        <v>149</v>
      </c>
      <c r="L8" s="2" t="s">
        <v>150</v>
      </c>
      <c r="M8" s="2" t="s">
        <v>151</v>
      </c>
      <c r="N8" s="2" t="s">
        <v>96</v>
      </c>
      <c r="O8" s="2" t="s">
        <v>70</v>
      </c>
      <c r="P8" s="9"/>
      <c r="Q8" s="9"/>
      <c r="R8" s="9"/>
      <c r="S8" s="9"/>
      <c r="T8" s="9"/>
      <c r="U8" s="9"/>
      <c r="V8" s="9"/>
      <c r="W8" s="2"/>
      <c r="X8" s="2" t="s">
        <v>97</v>
      </c>
      <c r="Y8" s="2" t="s">
        <v>143</v>
      </c>
      <c r="Z8" s="2" t="s">
        <v>99</v>
      </c>
      <c r="AA8" s="2" t="s">
        <v>100</v>
      </c>
    </row>
    <row r="9" spans="1:27" ht="43.2" x14ac:dyDescent="0.3">
      <c r="A9" s="2" t="s">
        <v>133</v>
      </c>
      <c r="B9" s="6" t="s">
        <v>85</v>
      </c>
      <c r="C9" s="2" t="s">
        <v>134</v>
      </c>
      <c r="D9" s="2">
        <v>3</v>
      </c>
      <c r="E9" s="2" t="s">
        <v>87</v>
      </c>
      <c r="F9" s="2" t="s">
        <v>152</v>
      </c>
      <c r="G9" s="2" t="s">
        <v>153</v>
      </c>
      <c r="H9" s="2" t="s">
        <v>154</v>
      </c>
      <c r="I9" s="2" t="s">
        <v>155</v>
      </c>
      <c r="J9" s="2" t="s">
        <v>156</v>
      </c>
      <c r="K9" s="2" t="s">
        <v>157</v>
      </c>
      <c r="L9" s="2" t="s">
        <v>158</v>
      </c>
      <c r="M9" s="2" t="s">
        <v>159</v>
      </c>
      <c r="N9" s="2" t="s">
        <v>96</v>
      </c>
      <c r="O9" s="2" t="s">
        <v>71</v>
      </c>
      <c r="P9" s="9"/>
      <c r="Q9" s="9"/>
      <c r="R9" s="9"/>
      <c r="S9" s="9"/>
      <c r="T9" s="9"/>
      <c r="U9" s="9"/>
      <c r="V9" s="9"/>
      <c r="W9" s="2"/>
      <c r="X9" s="2" t="s">
        <v>97</v>
      </c>
      <c r="Y9" s="2" t="s">
        <v>143</v>
      </c>
      <c r="Z9" s="2" t="s">
        <v>99</v>
      </c>
      <c r="AA9" s="2" t="s">
        <v>116</v>
      </c>
    </row>
    <row r="10" spans="1:27" ht="43.2" x14ac:dyDescent="0.3">
      <c r="A10" s="2" t="s">
        <v>133</v>
      </c>
      <c r="B10" s="6" t="s">
        <v>85</v>
      </c>
      <c r="C10" s="2" t="s">
        <v>134</v>
      </c>
      <c r="D10" s="2">
        <v>4</v>
      </c>
      <c r="E10" s="2" t="s">
        <v>87</v>
      </c>
      <c r="F10" s="2" t="s">
        <v>160</v>
      </c>
      <c r="G10" s="2" t="s">
        <v>161</v>
      </c>
      <c r="H10" s="2" t="s">
        <v>162</v>
      </c>
      <c r="I10" s="2" t="s">
        <v>163</v>
      </c>
      <c r="J10" s="2" t="s">
        <v>164</v>
      </c>
      <c r="K10" s="2" t="s">
        <v>165</v>
      </c>
      <c r="L10" s="2" t="s">
        <v>166</v>
      </c>
      <c r="M10" s="2" t="s">
        <v>167</v>
      </c>
      <c r="N10" s="2" t="s">
        <v>96</v>
      </c>
      <c r="O10" s="2" t="s">
        <v>72</v>
      </c>
      <c r="P10" s="9"/>
      <c r="Q10" s="9"/>
      <c r="R10" s="9"/>
      <c r="S10" s="9"/>
      <c r="T10" s="9"/>
      <c r="U10" s="9"/>
      <c r="V10" s="9"/>
      <c r="W10" s="2"/>
      <c r="X10" s="2" t="s">
        <v>97</v>
      </c>
      <c r="Y10" s="2" t="s">
        <v>143</v>
      </c>
      <c r="Z10" s="2" t="s">
        <v>99</v>
      </c>
      <c r="AA10" s="2" t="s">
        <v>116</v>
      </c>
    </row>
    <row r="11" spans="1:27" ht="43.2" x14ac:dyDescent="0.3">
      <c r="A11" s="2" t="s">
        <v>133</v>
      </c>
      <c r="B11" s="6" t="s">
        <v>85</v>
      </c>
      <c r="C11" s="2" t="s">
        <v>134</v>
      </c>
      <c r="D11" s="2">
        <v>5</v>
      </c>
      <c r="E11" s="2" t="s">
        <v>126</v>
      </c>
      <c r="F11" s="2" t="s">
        <v>168</v>
      </c>
      <c r="G11" s="2" t="s">
        <v>128</v>
      </c>
      <c r="H11" s="2" t="s">
        <v>129</v>
      </c>
      <c r="I11" s="2"/>
      <c r="J11" s="2"/>
      <c r="K11" s="2" t="s">
        <v>130</v>
      </c>
      <c r="L11" s="2" t="s">
        <v>169</v>
      </c>
      <c r="M11" s="2" t="s">
        <v>170</v>
      </c>
      <c r="N11" s="2" t="s">
        <v>96</v>
      </c>
      <c r="O11" s="2" t="s">
        <v>70</v>
      </c>
      <c r="P11" s="9"/>
      <c r="Q11" s="9"/>
      <c r="R11" s="9"/>
      <c r="S11" s="9"/>
      <c r="T11" s="9"/>
      <c r="U11" s="9"/>
      <c r="V11" s="9"/>
      <c r="W11" s="2"/>
      <c r="X11" s="2" t="s">
        <v>97</v>
      </c>
      <c r="Y11" s="2" t="s">
        <v>143</v>
      </c>
      <c r="Z11" s="2" t="s">
        <v>99</v>
      </c>
      <c r="AA11" s="2" t="s">
        <v>116</v>
      </c>
    </row>
    <row r="12" spans="1:27" ht="43.2" x14ac:dyDescent="0.3">
      <c r="A12" s="2" t="s">
        <v>171</v>
      </c>
      <c r="B12" s="6" t="s">
        <v>85</v>
      </c>
      <c r="C12" s="2" t="s">
        <v>172</v>
      </c>
      <c r="D12" s="2">
        <v>1</v>
      </c>
      <c r="E12" s="2" t="s">
        <v>87</v>
      </c>
      <c r="F12" s="2" t="s">
        <v>135</v>
      </c>
      <c r="G12" s="2" t="s">
        <v>136</v>
      </c>
      <c r="H12" s="2" t="s">
        <v>139</v>
      </c>
      <c r="I12" s="2" t="s">
        <v>137</v>
      </c>
      <c r="J12" s="2" t="s">
        <v>138</v>
      </c>
      <c r="K12" s="2" t="s">
        <v>173</v>
      </c>
      <c r="L12" s="2" t="s">
        <v>174</v>
      </c>
      <c r="M12" s="2" t="s">
        <v>142</v>
      </c>
      <c r="N12" s="2" t="s">
        <v>96</v>
      </c>
      <c r="O12" s="2" t="s">
        <v>71</v>
      </c>
      <c r="P12" s="9"/>
      <c r="Q12" s="9"/>
      <c r="R12" s="9"/>
      <c r="S12" s="9"/>
      <c r="T12" s="9"/>
      <c r="U12" s="9"/>
      <c r="V12" s="9"/>
      <c r="W12" s="2"/>
      <c r="X12" s="2" t="s">
        <v>97</v>
      </c>
      <c r="Y12" s="2" t="s">
        <v>175</v>
      </c>
      <c r="Z12" s="2" t="s">
        <v>99</v>
      </c>
      <c r="AA12" s="2" t="s">
        <v>100</v>
      </c>
    </row>
    <row r="13" spans="1:27" ht="43.2" x14ac:dyDescent="0.3">
      <c r="A13" s="2" t="s">
        <v>171</v>
      </c>
      <c r="B13" s="6" t="s">
        <v>85</v>
      </c>
      <c r="C13" s="2" t="s">
        <v>172</v>
      </c>
      <c r="D13" s="2">
        <v>2</v>
      </c>
      <c r="E13" s="2" t="s">
        <v>87</v>
      </c>
      <c r="F13" s="2" t="s">
        <v>176</v>
      </c>
      <c r="G13" s="2" t="s">
        <v>177</v>
      </c>
      <c r="H13" s="2" t="s">
        <v>178</v>
      </c>
      <c r="I13" s="2" t="s">
        <v>179</v>
      </c>
      <c r="J13" s="2" t="s">
        <v>180</v>
      </c>
      <c r="K13" s="2" t="s">
        <v>181</v>
      </c>
      <c r="L13" s="2" t="s">
        <v>182</v>
      </c>
      <c r="M13" s="2" t="s">
        <v>183</v>
      </c>
      <c r="N13" s="2" t="s">
        <v>96</v>
      </c>
      <c r="O13" s="2" t="s">
        <v>70</v>
      </c>
      <c r="P13" s="9"/>
      <c r="Q13" s="9"/>
      <c r="R13" s="9"/>
      <c r="S13" s="9"/>
      <c r="T13" s="9"/>
      <c r="U13" s="9"/>
      <c r="V13" s="9"/>
      <c r="W13" s="2"/>
      <c r="X13" s="2" t="s">
        <v>97</v>
      </c>
      <c r="Y13" s="2" t="s">
        <v>175</v>
      </c>
      <c r="Z13" s="2" t="s">
        <v>99</v>
      </c>
      <c r="AA13" s="2" t="s">
        <v>109</v>
      </c>
    </row>
    <row r="14" spans="1:27" ht="57.6" x14ac:dyDescent="0.3">
      <c r="A14" s="2" t="s">
        <v>171</v>
      </c>
      <c r="B14" s="6" t="s">
        <v>85</v>
      </c>
      <c r="C14" s="2" t="s">
        <v>172</v>
      </c>
      <c r="D14" s="2">
        <v>3</v>
      </c>
      <c r="E14" s="2" t="s">
        <v>126</v>
      </c>
      <c r="F14" s="2" t="s">
        <v>184</v>
      </c>
      <c r="G14" s="2" t="s">
        <v>128</v>
      </c>
      <c r="H14" s="2" t="s">
        <v>129</v>
      </c>
      <c r="I14" s="2"/>
      <c r="J14" s="2"/>
      <c r="K14" s="2" t="s">
        <v>185</v>
      </c>
      <c r="L14" s="2" t="s">
        <v>186</v>
      </c>
      <c r="M14" s="2" t="s">
        <v>187</v>
      </c>
      <c r="N14" s="2" t="s">
        <v>96</v>
      </c>
      <c r="O14" s="2" t="s">
        <v>71</v>
      </c>
      <c r="P14" s="9"/>
      <c r="Q14" s="9"/>
      <c r="R14" s="9"/>
      <c r="S14" s="9"/>
      <c r="T14" s="9"/>
      <c r="U14" s="9"/>
      <c r="V14" s="9"/>
      <c r="W14" s="2"/>
      <c r="X14" s="2" t="s">
        <v>97</v>
      </c>
      <c r="Y14" s="2" t="s">
        <v>175</v>
      </c>
      <c r="Z14" s="2" t="s">
        <v>99</v>
      </c>
      <c r="AA14" s="2" t="s">
        <v>116</v>
      </c>
    </row>
    <row r="15" spans="1:27" ht="43.2" x14ac:dyDescent="0.3">
      <c r="A15" s="2" t="s">
        <v>171</v>
      </c>
      <c r="B15" s="6" t="s">
        <v>85</v>
      </c>
      <c r="C15" s="2" t="s">
        <v>172</v>
      </c>
      <c r="D15" s="2">
        <v>4</v>
      </c>
      <c r="E15" s="2" t="s">
        <v>87</v>
      </c>
      <c r="F15" s="2" t="s">
        <v>188</v>
      </c>
      <c r="G15" s="2" t="s">
        <v>189</v>
      </c>
      <c r="H15" s="2" t="s">
        <v>190</v>
      </c>
      <c r="I15" s="2" t="s">
        <v>191</v>
      </c>
      <c r="J15" s="2" t="s">
        <v>192</v>
      </c>
      <c r="K15" s="2" t="s">
        <v>193</v>
      </c>
      <c r="L15" s="2" t="s">
        <v>194</v>
      </c>
      <c r="M15" s="2" t="s">
        <v>195</v>
      </c>
      <c r="N15" s="2" t="s">
        <v>96</v>
      </c>
      <c r="O15" s="2" t="s">
        <v>73</v>
      </c>
      <c r="P15" s="9"/>
      <c r="Q15" s="9"/>
      <c r="R15" s="9"/>
      <c r="S15" s="9"/>
      <c r="T15" s="9"/>
      <c r="U15" s="9"/>
      <c r="V15" s="9"/>
      <c r="W15" s="2"/>
      <c r="X15" s="2" t="s">
        <v>97</v>
      </c>
      <c r="Y15" s="2" t="s">
        <v>175</v>
      </c>
      <c r="Z15" s="2" t="s">
        <v>99</v>
      </c>
      <c r="AA15" s="2" t="s">
        <v>125</v>
      </c>
    </row>
    <row r="16" spans="1:27" ht="86.4" x14ac:dyDescent="0.3">
      <c r="A16" s="2" t="s">
        <v>171</v>
      </c>
      <c r="B16" s="6" t="s">
        <v>85</v>
      </c>
      <c r="C16" s="2" t="s">
        <v>172</v>
      </c>
      <c r="D16" s="2">
        <v>5</v>
      </c>
      <c r="E16" s="2" t="s">
        <v>87</v>
      </c>
      <c r="F16" s="2" t="s">
        <v>196</v>
      </c>
      <c r="G16" s="2" t="s">
        <v>189</v>
      </c>
      <c r="H16" s="2" t="s">
        <v>192</v>
      </c>
      <c r="I16" s="2" t="s">
        <v>190</v>
      </c>
      <c r="J16" s="2" t="s">
        <v>197</v>
      </c>
      <c r="K16" s="2" t="s">
        <v>198</v>
      </c>
      <c r="L16" s="2" t="s">
        <v>199</v>
      </c>
      <c r="M16" s="2" t="s">
        <v>200</v>
      </c>
      <c r="N16" s="2" t="s">
        <v>96</v>
      </c>
      <c r="O16" s="2" t="s">
        <v>72</v>
      </c>
      <c r="P16" s="9"/>
      <c r="Q16" s="9"/>
      <c r="R16" s="9"/>
      <c r="S16" s="9"/>
      <c r="T16" s="9"/>
      <c r="U16" s="9"/>
      <c r="V16" s="9"/>
      <c r="W16" s="2"/>
      <c r="X16" s="2" t="s">
        <v>97</v>
      </c>
      <c r="Y16" s="2" t="s">
        <v>175</v>
      </c>
      <c r="Z16" s="2" t="s">
        <v>99</v>
      </c>
      <c r="AA16" s="2" t="s">
        <v>125</v>
      </c>
    </row>
    <row r="17" spans="1:27" ht="72" x14ac:dyDescent="0.3">
      <c r="A17" s="2" t="s">
        <v>201</v>
      </c>
      <c r="B17" s="6" t="s">
        <v>202</v>
      </c>
      <c r="C17" s="2" t="s">
        <v>86</v>
      </c>
      <c r="D17" s="2">
        <v>1</v>
      </c>
      <c r="E17" s="2" t="s">
        <v>87</v>
      </c>
      <c r="F17" s="2" t="s">
        <v>203</v>
      </c>
      <c r="G17" s="2" t="s">
        <v>204</v>
      </c>
      <c r="H17" s="2" t="s">
        <v>205</v>
      </c>
      <c r="I17" s="2" t="s">
        <v>206</v>
      </c>
      <c r="J17" s="2" t="s">
        <v>207</v>
      </c>
      <c r="K17" s="2" t="s">
        <v>208</v>
      </c>
      <c r="L17" s="2" t="s">
        <v>209</v>
      </c>
      <c r="M17" s="2" t="s">
        <v>210</v>
      </c>
      <c r="N17" s="2" t="s">
        <v>96</v>
      </c>
      <c r="O17" s="2" t="s">
        <v>70</v>
      </c>
      <c r="P17" s="9"/>
      <c r="Q17" s="9"/>
      <c r="R17" s="9"/>
      <c r="S17" s="9"/>
      <c r="T17" s="9"/>
      <c r="U17" s="9"/>
      <c r="V17" s="9"/>
      <c r="W17" s="2"/>
      <c r="X17" s="2" t="s">
        <v>211</v>
      </c>
      <c r="Y17" s="2" t="s">
        <v>212</v>
      </c>
      <c r="Z17" s="2" t="s">
        <v>213</v>
      </c>
      <c r="AA17" s="2" t="s">
        <v>214</v>
      </c>
    </row>
    <row r="18" spans="1:27" ht="72" x14ac:dyDescent="0.3">
      <c r="A18" s="2" t="s">
        <v>201</v>
      </c>
      <c r="B18" s="6" t="s">
        <v>202</v>
      </c>
      <c r="C18" s="2" t="s">
        <v>86</v>
      </c>
      <c r="D18" s="2">
        <v>2</v>
      </c>
      <c r="E18" s="2" t="s">
        <v>87</v>
      </c>
      <c r="F18" s="2" t="s">
        <v>215</v>
      </c>
      <c r="G18" s="2" t="s">
        <v>216</v>
      </c>
      <c r="H18" s="2" t="s">
        <v>217</v>
      </c>
      <c r="I18" s="2" t="s">
        <v>218</v>
      </c>
      <c r="J18" s="2" t="s">
        <v>219</v>
      </c>
      <c r="K18" s="2" t="s">
        <v>220</v>
      </c>
      <c r="L18" s="2" t="s">
        <v>221</v>
      </c>
      <c r="M18" s="2" t="s">
        <v>222</v>
      </c>
      <c r="N18" s="2" t="s">
        <v>96</v>
      </c>
      <c r="O18" s="2" t="s">
        <v>73</v>
      </c>
      <c r="P18" s="9"/>
      <c r="Q18" s="9"/>
      <c r="R18" s="9"/>
      <c r="S18" s="9"/>
      <c r="T18" s="9"/>
      <c r="U18" s="9"/>
      <c r="V18" s="9"/>
      <c r="W18" s="2"/>
      <c r="X18" s="2" t="s">
        <v>211</v>
      </c>
      <c r="Y18" s="2" t="s">
        <v>212</v>
      </c>
      <c r="Z18" s="2" t="s">
        <v>213</v>
      </c>
      <c r="AA18" s="2" t="s">
        <v>223</v>
      </c>
    </row>
    <row r="19" spans="1:27" ht="72" x14ac:dyDescent="0.3">
      <c r="A19" s="2" t="s">
        <v>201</v>
      </c>
      <c r="B19" s="6" t="s">
        <v>202</v>
      </c>
      <c r="C19" s="2" t="s">
        <v>86</v>
      </c>
      <c r="D19" s="2">
        <v>3</v>
      </c>
      <c r="E19" s="2" t="s">
        <v>87</v>
      </c>
      <c r="F19" s="2" t="s">
        <v>224</v>
      </c>
      <c r="G19" s="2" t="s">
        <v>225</v>
      </c>
      <c r="H19" s="2" t="s">
        <v>226</v>
      </c>
      <c r="I19" s="2" t="s">
        <v>227</v>
      </c>
      <c r="J19" s="2" t="s">
        <v>228</v>
      </c>
      <c r="K19" s="2" t="s">
        <v>229</v>
      </c>
      <c r="L19" s="2" t="s">
        <v>230</v>
      </c>
      <c r="M19" s="2" t="s">
        <v>231</v>
      </c>
      <c r="N19" s="2" t="s">
        <v>96</v>
      </c>
      <c r="O19" s="2" t="s">
        <v>72</v>
      </c>
      <c r="P19" s="9"/>
      <c r="Q19" s="9"/>
      <c r="R19" s="9"/>
      <c r="S19" s="9"/>
      <c r="T19" s="9"/>
      <c r="U19" s="9"/>
      <c r="V19" s="9"/>
      <c r="W19" s="2"/>
      <c r="X19" s="2" t="s">
        <v>211</v>
      </c>
      <c r="Y19" s="2" t="s">
        <v>212</v>
      </c>
      <c r="Z19" s="2" t="s">
        <v>213</v>
      </c>
      <c r="AA19" s="2" t="s">
        <v>232</v>
      </c>
    </row>
    <row r="20" spans="1:27" ht="72" x14ac:dyDescent="0.3">
      <c r="A20" s="2" t="s">
        <v>201</v>
      </c>
      <c r="B20" s="6" t="s">
        <v>202</v>
      </c>
      <c r="C20" s="2" t="s">
        <v>86</v>
      </c>
      <c r="D20" s="2">
        <v>4</v>
      </c>
      <c r="E20" s="2" t="s">
        <v>87</v>
      </c>
      <c r="F20" s="2" t="s">
        <v>233</v>
      </c>
      <c r="G20" s="2" t="s">
        <v>234</v>
      </c>
      <c r="H20" s="2" t="s">
        <v>235</v>
      </c>
      <c r="I20" s="2" t="s">
        <v>236</v>
      </c>
      <c r="J20" s="2" t="s">
        <v>237</v>
      </c>
      <c r="K20" s="2" t="s">
        <v>238</v>
      </c>
      <c r="L20" s="2" t="s">
        <v>239</v>
      </c>
      <c r="M20" s="2" t="s">
        <v>240</v>
      </c>
      <c r="N20" s="2" t="s">
        <v>96</v>
      </c>
      <c r="O20" s="2" t="s">
        <v>71</v>
      </c>
      <c r="P20" s="9"/>
      <c r="Q20" s="9"/>
      <c r="R20" s="9"/>
      <c r="S20" s="9"/>
      <c r="T20" s="9"/>
      <c r="U20" s="9"/>
      <c r="V20" s="9"/>
      <c r="W20" s="2"/>
      <c r="X20" s="2" t="s">
        <v>211</v>
      </c>
      <c r="Y20" s="2" t="s">
        <v>212</v>
      </c>
      <c r="Z20" s="2" t="s">
        <v>213</v>
      </c>
      <c r="AA20" s="2" t="s">
        <v>241</v>
      </c>
    </row>
    <row r="21" spans="1:27" ht="72" x14ac:dyDescent="0.3">
      <c r="A21" s="2" t="s">
        <v>201</v>
      </c>
      <c r="B21" s="6" t="s">
        <v>202</v>
      </c>
      <c r="C21" s="2" t="s">
        <v>86</v>
      </c>
      <c r="D21" s="2">
        <v>5</v>
      </c>
      <c r="E21" s="2" t="s">
        <v>87</v>
      </c>
      <c r="F21" s="2" t="s">
        <v>242</v>
      </c>
      <c r="G21" s="2" t="s">
        <v>243</v>
      </c>
      <c r="H21" s="2" t="s">
        <v>244</v>
      </c>
      <c r="I21" s="2" t="s">
        <v>245</v>
      </c>
      <c r="J21" s="2" t="s">
        <v>246</v>
      </c>
      <c r="K21" s="2" t="s">
        <v>247</v>
      </c>
      <c r="L21" s="2" t="s">
        <v>248</v>
      </c>
      <c r="M21" s="2" t="s">
        <v>249</v>
      </c>
      <c r="N21" s="2" t="s">
        <v>96</v>
      </c>
      <c r="O21" s="2" t="s">
        <v>70</v>
      </c>
      <c r="P21" s="9"/>
      <c r="Q21" s="9"/>
      <c r="R21" s="9"/>
      <c r="S21" s="9"/>
      <c r="T21" s="9"/>
      <c r="U21" s="9"/>
      <c r="V21" s="9"/>
      <c r="W21" s="2"/>
      <c r="X21" s="2" t="s">
        <v>211</v>
      </c>
      <c r="Y21" s="2" t="s">
        <v>212</v>
      </c>
      <c r="Z21" s="2" t="s">
        <v>213</v>
      </c>
      <c r="AA21" s="2" t="s">
        <v>214</v>
      </c>
    </row>
    <row r="22" spans="1:27" ht="72" x14ac:dyDescent="0.3">
      <c r="A22" s="2" t="s">
        <v>250</v>
      </c>
      <c r="B22" s="6" t="s">
        <v>202</v>
      </c>
      <c r="C22" s="2" t="s">
        <v>134</v>
      </c>
      <c r="D22" s="2">
        <v>1</v>
      </c>
      <c r="E22" s="2" t="s">
        <v>87</v>
      </c>
      <c r="F22" s="2" t="s">
        <v>251</v>
      </c>
      <c r="G22" s="2" t="s">
        <v>252</v>
      </c>
      <c r="H22" s="2" t="s">
        <v>253</v>
      </c>
      <c r="I22" s="2" t="s">
        <v>254</v>
      </c>
      <c r="J22" s="2" t="s">
        <v>255</v>
      </c>
      <c r="K22" s="2" t="s">
        <v>256</v>
      </c>
      <c r="L22" s="2" t="s">
        <v>257</v>
      </c>
      <c r="M22" s="2" t="s">
        <v>258</v>
      </c>
      <c r="N22" s="2" t="s">
        <v>96</v>
      </c>
      <c r="O22" s="2" t="s">
        <v>72</v>
      </c>
      <c r="P22" s="9"/>
      <c r="Q22" s="9"/>
      <c r="R22" s="9"/>
      <c r="S22" s="9"/>
      <c r="T22" s="9"/>
      <c r="U22" s="9"/>
      <c r="V22" s="9"/>
      <c r="W22" s="2"/>
      <c r="X22" s="2" t="s">
        <v>211</v>
      </c>
      <c r="Y22" s="2" t="s">
        <v>259</v>
      </c>
      <c r="Z22" s="2" t="s">
        <v>213</v>
      </c>
      <c r="AA22" s="2" t="s">
        <v>241</v>
      </c>
    </row>
    <row r="23" spans="1:27" ht="72" x14ac:dyDescent="0.3">
      <c r="A23" s="2" t="s">
        <v>250</v>
      </c>
      <c r="B23" s="6" t="s">
        <v>202</v>
      </c>
      <c r="C23" s="2" t="s">
        <v>134</v>
      </c>
      <c r="D23" s="2">
        <v>2</v>
      </c>
      <c r="E23" s="2" t="s">
        <v>87</v>
      </c>
      <c r="F23" s="2" t="s">
        <v>260</v>
      </c>
      <c r="G23" s="2" t="s">
        <v>218</v>
      </c>
      <c r="H23" s="2" t="s">
        <v>261</v>
      </c>
      <c r="I23" s="2" t="s">
        <v>262</v>
      </c>
      <c r="J23" s="2" t="s">
        <v>263</v>
      </c>
      <c r="K23" s="2" t="s">
        <v>264</v>
      </c>
      <c r="L23" s="2" t="s">
        <v>265</v>
      </c>
      <c r="M23" s="2" t="s">
        <v>266</v>
      </c>
      <c r="N23" s="2" t="s">
        <v>96</v>
      </c>
      <c r="O23" s="2" t="s">
        <v>73</v>
      </c>
      <c r="P23" s="9"/>
      <c r="Q23" s="9"/>
      <c r="R23" s="9"/>
      <c r="S23" s="9"/>
      <c r="T23" s="9"/>
      <c r="U23" s="9"/>
      <c r="V23" s="9"/>
      <c r="W23" s="2"/>
      <c r="X23" s="2" t="s">
        <v>211</v>
      </c>
      <c r="Y23" s="2" t="s">
        <v>259</v>
      </c>
      <c r="Z23" s="2" t="s">
        <v>213</v>
      </c>
      <c r="AA23" s="2" t="s">
        <v>223</v>
      </c>
    </row>
    <row r="24" spans="1:27" ht="72" x14ac:dyDescent="0.3">
      <c r="A24" s="2" t="s">
        <v>250</v>
      </c>
      <c r="B24" s="6" t="s">
        <v>202</v>
      </c>
      <c r="C24" s="2" t="s">
        <v>134</v>
      </c>
      <c r="D24" s="2">
        <v>3</v>
      </c>
      <c r="E24" s="2" t="s">
        <v>87</v>
      </c>
      <c r="F24" s="2" t="s">
        <v>267</v>
      </c>
      <c r="G24" s="2" t="s">
        <v>268</v>
      </c>
      <c r="H24" s="2" t="s">
        <v>269</v>
      </c>
      <c r="I24" s="2" t="s">
        <v>270</v>
      </c>
      <c r="J24" s="2" t="s">
        <v>271</v>
      </c>
      <c r="K24" s="2" t="s">
        <v>272</v>
      </c>
      <c r="L24" s="2" t="s">
        <v>273</v>
      </c>
      <c r="M24" s="2" t="s">
        <v>274</v>
      </c>
      <c r="N24" s="2" t="s">
        <v>96</v>
      </c>
      <c r="O24" s="2" t="s">
        <v>70</v>
      </c>
      <c r="P24" s="9"/>
      <c r="Q24" s="9"/>
      <c r="R24" s="9"/>
      <c r="S24" s="9"/>
      <c r="T24" s="9"/>
      <c r="U24" s="9"/>
      <c r="V24" s="9"/>
      <c r="W24" s="2"/>
      <c r="X24" s="2" t="s">
        <v>211</v>
      </c>
      <c r="Y24" s="2" t="s">
        <v>259</v>
      </c>
      <c r="Z24" s="2" t="s">
        <v>213</v>
      </c>
      <c r="AA24" s="2" t="s">
        <v>241</v>
      </c>
    </row>
    <row r="25" spans="1:27" ht="72" x14ac:dyDescent="0.3">
      <c r="A25" s="2" t="s">
        <v>250</v>
      </c>
      <c r="B25" s="6" t="s">
        <v>202</v>
      </c>
      <c r="C25" s="2" t="s">
        <v>134</v>
      </c>
      <c r="D25" s="2">
        <v>4</v>
      </c>
      <c r="E25" s="2" t="s">
        <v>87</v>
      </c>
      <c r="F25" s="2" t="s">
        <v>275</v>
      </c>
      <c r="G25" s="2" t="s">
        <v>276</v>
      </c>
      <c r="H25" s="2" t="s">
        <v>277</v>
      </c>
      <c r="I25" s="2" t="s">
        <v>278</v>
      </c>
      <c r="J25" s="2" t="s">
        <v>279</v>
      </c>
      <c r="K25" s="2" t="s">
        <v>280</v>
      </c>
      <c r="L25" s="2" t="s">
        <v>281</v>
      </c>
      <c r="M25" s="2" t="s">
        <v>282</v>
      </c>
      <c r="N25" s="2" t="s">
        <v>96</v>
      </c>
      <c r="O25" s="2" t="s">
        <v>71</v>
      </c>
      <c r="P25" s="9"/>
      <c r="Q25" s="9"/>
      <c r="R25" s="9"/>
      <c r="S25" s="9"/>
      <c r="T25" s="9"/>
      <c r="U25" s="9"/>
      <c r="V25" s="9"/>
      <c r="W25" s="2"/>
      <c r="X25" s="2" t="s">
        <v>211</v>
      </c>
      <c r="Y25" s="2" t="s">
        <v>259</v>
      </c>
      <c r="Z25" s="2" t="s">
        <v>213</v>
      </c>
      <c r="AA25" s="2" t="s">
        <v>283</v>
      </c>
    </row>
    <row r="26" spans="1:27" ht="72" x14ac:dyDescent="0.3">
      <c r="A26" s="2" t="s">
        <v>250</v>
      </c>
      <c r="B26" s="6" t="s">
        <v>202</v>
      </c>
      <c r="C26" s="2" t="s">
        <v>134</v>
      </c>
      <c r="D26" s="2">
        <v>5</v>
      </c>
      <c r="E26" s="2" t="s">
        <v>126</v>
      </c>
      <c r="F26" s="2" t="s">
        <v>284</v>
      </c>
      <c r="G26" s="2" t="s">
        <v>128</v>
      </c>
      <c r="H26" s="2" t="s">
        <v>129</v>
      </c>
      <c r="I26" s="2"/>
      <c r="J26" s="2"/>
      <c r="K26" s="2" t="s">
        <v>130</v>
      </c>
      <c r="L26" s="2" t="s">
        <v>285</v>
      </c>
      <c r="M26" s="2" t="s">
        <v>286</v>
      </c>
      <c r="N26" s="2" t="s">
        <v>96</v>
      </c>
      <c r="O26" s="2" t="s">
        <v>70</v>
      </c>
      <c r="P26" s="9"/>
      <c r="Q26" s="9"/>
      <c r="R26" s="9"/>
      <c r="S26" s="9"/>
      <c r="T26" s="9"/>
      <c r="U26" s="9"/>
      <c r="V26" s="9"/>
      <c r="W26" s="2"/>
      <c r="X26" s="2" t="s">
        <v>211</v>
      </c>
      <c r="Y26" s="2" t="s">
        <v>259</v>
      </c>
      <c r="Z26" s="2" t="s">
        <v>213</v>
      </c>
      <c r="AA26" s="2" t="s">
        <v>214</v>
      </c>
    </row>
    <row r="27" spans="1:27" ht="72" x14ac:dyDescent="0.3">
      <c r="A27" s="2" t="s">
        <v>287</v>
      </c>
      <c r="B27" s="6" t="s">
        <v>202</v>
      </c>
      <c r="C27" s="2" t="s">
        <v>172</v>
      </c>
      <c r="D27" s="2">
        <v>1</v>
      </c>
      <c r="E27" s="2" t="s">
        <v>87</v>
      </c>
      <c r="F27" s="2" t="s">
        <v>288</v>
      </c>
      <c r="G27" s="2" t="s">
        <v>289</v>
      </c>
      <c r="H27" s="2" t="s">
        <v>290</v>
      </c>
      <c r="I27" s="2" t="s">
        <v>291</v>
      </c>
      <c r="J27" s="2" t="s">
        <v>292</v>
      </c>
      <c r="K27" s="2" t="s">
        <v>293</v>
      </c>
      <c r="L27" s="2" t="s">
        <v>294</v>
      </c>
      <c r="M27" s="2" t="s">
        <v>142</v>
      </c>
      <c r="N27" s="2" t="s">
        <v>96</v>
      </c>
      <c r="O27" s="2" t="s">
        <v>70</v>
      </c>
      <c r="P27" s="9"/>
      <c r="Q27" s="9"/>
      <c r="R27" s="9"/>
      <c r="S27" s="9"/>
      <c r="T27" s="9"/>
      <c r="U27" s="9"/>
      <c r="V27" s="9"/>
      <c r="W27" s="2"/>
      <c r="X27" s="2" t="s">
        <v>211</v>
      </c>
      <c r="Y27" s="2" t="s">
        <v>295</v>
      </c>
      <c r="Z27" s="2" t="s">
        <v>213</v>
      </c>
      <c r="AA27" s="2" t="s">
        <v>214</v>
      </c>
    </row>
    <row r="28" spans="1:27" ht="72" x14ac:dyDescent="0.3">
      <c r="A28" s="2" t="s">
        <v>287</v>
      </c>
      <c r="B28" s="6" t="s">
        <v>202</v>
      </c>
      <c r="C28" s="2" t="s">
        <v>172</v>
      </c>
      <c r="D28" s="2">
        <v>2</v>
      </c>
      <c r="E28" s="2" t="s">
        <v>87</v>
      </c>
      <c r="F28" s="2" t="s">
        <v>296</v>
      </c>
      <c r="G28" s="2" t="s">
        <v>297</v>
      </c>
      <c r="H28" s="2" t="s">
        <v>298</v>
      </c>
      <c r="I28" s="2" t="s">
        <v>299</v>
      </c>
      <c r="J28" s="2" t="s">
        <v>300</v>
      </c>
      <c r="K28" s="2" t="s">
        <v>301</v>
      </c>
      <c r="L28" s="2" t="s">
        <v>302</v>
      </c>
      <c r="M28" s="2" t="s">
        <v>303</v>
      </c>
      <c r="N28" s="2" t="s">
        <v>96</v>
      </c>
      <c r="O28" s="2" t="s">
        <v>71</v>
      </c>
      <c r="P28" s="9"/>
      <c r="Q28" s="9"/>
      <c r="R28" s="9"/>
      <c r="S28" s="9"/>
      <c r="T28" s="9"/>
      <c r="U28" s="9"/>
      <c r="V28" s="9"/>
      <c r="W28" s="2"/>
      <c r="X28" s="2" t="s">
        <v>211</v>
      </c>
      <c r="Y28" s="2" t="s">
        <v>295</v>
      </c>
      <c r="Z28" s="2" t="s">
        <v>213</v>
      </c>
      <c r="AA28" s="2" t="s">
        <v>232</v>
      </c>
    </row>
    <row r="29" spans="1:27" ht="72" x14ac:dyDescent="0.3">
      <c r="A29" s="2" t="s">
        <v>287</v>
      </c>
      <c r="B29" s="6" t="s">
        <v>202</v>
      </c>
      <c r="C29" s="2" t="s">
        <v>172</v>
      </c>
      <c r="D29" s="2">
        <v>3</v>
      </c>
      <c r="E29" s="2" t="s">
        <v>87</v>
      </c>
      <c r="F29" s="2" t="s">
        <v>304</v>
      </c>
      <c r="G29" s="2" t="s">
        <v>219</v>
      </c>
      <c r="H29" s="2" t="s">
        <v>305</v>
      </c>
      <c r="I29" s="2" t="s">
        <v>306</v>
      </c>
      <c r="J29" s="2" t="s">
        <v>307</v>
      </c>
      <c r="K29" s="2" t="s">
        <v>308</v>
      </c>
      <c r="L29" s="2" t="s">
        <v>309</v>
      </c>
      <c r="M29" s="2" t="s">
        <v>310</v>
      </c>
      <c r="N29" s="2" t="s">
        <v>96</v>
      </c>
      <c r="O29" s="2" t="s">
        <v>73</v>
      </c>
      <c r="P29" s="9"/>
      <c r="Q29" s="9"/>
      <c r="R29" s="9"/>
      <c r="S29" s="9"/>
      <c r="T29" s="9"/>
      <c r="U29" s="9"/>
      <c r="V29" s="9"/>
      <c r="W29" s="2"/>
      <c r="X29" s="2" t="s">
        <v>211</v>
      </c>
      <c r="Y29" s="2" t="s">
        <v>295</v>
      </c>
      <c r="Z29" s="2" t="s">
        <v>213</v>
      </c>
      <c r="AA29" s="2" t="s">
        <v>223</v>
      </c>
    </row>
    <row r="30" spans="1:27" ht="72" x14ac:dyDescent="0.3">
      <c r="A30" s="2" t="s">
        <v>287</v>
      </c>
      <c r="B30" s="6" t="s">
        <v>202</v>
      </c>
      <c r="C30" s="2" t="s">
        <v>172</v>
      </c>
      <c r="D30" s="2">
        <v>4</v>
      </c>
      <c r="E30" s="2" t="s">
        <v>87</v>
      </c>
      <c r="F30" s="2" t="s">
        <v>311</v>
      </c>
      <c r="G30" s="2" t="s">
        <v>189</v>
      </c>
      <c r="H30" s="2" t="s">
        <v>192</v>
      </c>
      <c r="I30" s="2" t="s">
        <v>190</v>
      </c>
      <c r="J30" s="2" t="s">
        <v>191</v>
      </c>
      <c r="K30" s="2" t="s">
        <v>198</v>
      </c>
      <c r="L30" s="2" t="s">
        <v>312</v>
      </c>
      <c r="M30" s="2" t="s">
        <v>313</v>
      </c>
      <c r="N30" s="2" t="s">
        <v>96</v>
      </c>
      <c r="O30" s="2" t="s">
        <v>72</v>
      </c>
      <c r="P30" s="9"/>
      <c r="Q30" s="9"/>
      <c r="R30" s="9"/>
      <c r="S30" s="9"/>
      <c r="T30" s="9"/>
      <c r="U30" s="9"/>
      <c r="V30" s="9"/>
      <c r="W30" s="2"/>
      <c r="X30" s="2" t="s">
        <v>211</v>
      </c>
      <c r="Y30" s="2" t="s">
        <v>295</v>
      </c>
      <c r="Z30" s="2" t="s">
        <v>213</v>
      </c>
      <c r="AA30" s="2" t="s">
        <v>214</v>
      </c>
    </row>
    <row r="31" spans="1:27" ht="72" x14ac:dyDescent="0.3">
      <c r="A31" s="2" t="s">
        <v>287</v>
      </c>
      <c r="B31" s="6" t="s">
        <v>202</v>
      </c>
      <c r="C31" s="2" t="s">
        <v>172</v>
      </c>
      <c r="D31" s="2">
        <v>5</v>
      </c>
      <c r="E31" s="2" t="s">
        <v>126</v>
      </c>
      <c r="F31" s="2" t="s">
        <v>314</v>
      </c>
      <c r="G31" s="2" t="s">
        <v>128</v>
      </c>
      <c r="H31" s="2" t="s">
        <v>129</v>
      </c>
      <c r="I31" s="2"/>
      <c r="J31" s="2"/>
      <c r="K31" s="2" t="s">
        <v>130</v>
      </c>
      <c r="L31" s="2" t="s">
        <v>315</v>
      </c>
      <c r="M31" s="2" t="s">
        <v>316</v>
      </c>
      <c r="N31" s="2" t="s">
        <v>96</v>
      </c>
      <c r="O31" s="2" t="s">
        <v>70</v>
      </c>
      <c r="P31" s="9"/>
      <c r="Q31" s="9"/>
      <c r="R31" s="9"/>
      <c r="S31" s="9"/>
      <c r="T31" s="9"/>
      <c r="U31" s="9"/>
      <c r="V31" s="9"/>
      <c r="W31" s="2"/>
      <c r="X31" s="2" t="s">
        <v>211</v>
      </c>
      <c r="Y31" s="2" t="s">
        <v>295</v>
      </c>
      <c r="Z31" s="2" t="s">
        <v>213</v>
      </c>
      <c r="AA31" s="2" t="s">
        <v>223</v>
      </c>
    </row>
    <row r="32" spans="1:27" ht="43.2" x14ac:dyDescent="0.3">
      <c r="A32" s="2" t="s">
        <v>317</v>
      </c>
      <c r="B32" s="6" t="s">
        <v>318</v>
      </c>
      <c r="C32" s="2" t="s">
        <v>86</v>
      </c>
      <c r="D32" s="2">
        <v>1</v>
      </c>
      <c r="E32" s="2" t="s">
        <v>87</v>
      </c>
      <c r="F32" s="2" t="s">
        <v>319</v>
      </c>
      <c r="G32" s="2" t="s">
        <v>320</v>
      </c>
      <c r="H32" s="2" t="s">
        <v>321</v>
      </c>
      <c r="I32" s="2" t="s">
        <v>322</v>
      </c>
      <c r="J32" s="2" t="s">
        <v>323</v>
      </c>
      <c r="K32" s="2" t="s">
        <v>324</v>
      </c>
      <c r="L32" s="2" t="s">
        <v>325</v>
      </c>
      <c r="M32" s="2" t="s">
        <v>326</v>
      </c>
      <c r="N32" s="2" t="s">
        <v>96</v>
      </c>
      <c r="O32" s="2" t="s">
        <v>72</v>
      </c>
      <c r="P32" s="9"/>
      <c r="Q32" s="9"/>
      <c r="R32" s="9"/>
      <c r="S32" s="9"/>
      <c r="T32" s="9"/>
      <c r="U32" s="9"/>
      <c r="V32" s="9"/>
      <c r="W32" s="2"/>
      <c r="X32" s="2" t="s">
        <v>327</v>
      </c>
      <c r="Y32" s="2" t="s">
        <v>328</v>
      </c>
      <c r="Z32" s="2" t="s">
        <v>329</v>
      </c>
      <c r="AA32" s="2" t="s">
        <v>330</v>
      </c>
    </row>
    <row r="33" spans="1:27" ht="43.2" x14ac:dyDescent="0.3">
      <c r="A33" s="2" t="s">
        <v>317</v>
      </c>
      <c r="B33" s="6" t="s">
        <v>318</v>
      </c>
      <c r="C33" s="2" t="s">
        <v>86</v>
      </c>
      <c r="D33" s="2">
        <v>2</v>
      </c>
      <c r="E33" s="2" t="s">
        <v>87</v>
      </c>
      <c r="F33" s="2" t="s">
        <v>331</v>
      </c>
      <c r="G33" s="2" t="s">
        <v>332</v>
      </c>
      <c r="H33" s="2" t="s">
        <v>333</v>
      </c>
      <c r="I33" s="2" t="s">
        <v>334</v>
      </c>
      <c r="J33" s="2" t="s">
        <v>335</v>
      </c>
      <c r="K33" s="2" t="s">
        <v>336</v>
      </c>
      <c r="L33" s="2" t="s">
        <v>337</v>
      </c>
      <c r="M33" s="2" t="s">
        <v>338</v>
      </c>
      <c r="N33" s="2" t="s">
        <v>96</v>
      </c>
      <c r="O33" s="2" t="s">
        <v>70</v>
      </c>
      <c r="P33" s="9"/>
      <c r="Q33" s="9"/>
      <c r="R33" s="9"/>
      <c r="S33" s="9"/>
      <c r="T33" s="9"/>
      <c r="U33" s="9"/>
      <c r="V33" s="9"/>
      <c r="W33" s="2"/>
      <c r="X33" s="2" t="s">
        <v>327</v>
      </c>
      <c r="Y33" s="2" t="s">
        <v>328</v>
      </c>
      <c r="Z33" s="2" t="s">
        <v>329</v>
      </c>
      <c r="AA33" s="2" t="s">
        <v>339</v>
      </c>
    </row>
    <row r="34" spans="1:27" ht="43.2" x14ac:dyDescent="0.3">
      <c r="A34" s="2" t="s">
        <v>317</v>
      </c>
      <c r="B34" s="6" t="s">
        <v>318</v>
      </c>
      <c r="C34" s="2" t="s">
        <v>86</v>
      </c>
      <c r="D34" s="2">
        <v>3</v>
      </c>
      <c r="E34" s="2" t="s">
        <v>87</v>
      </c>
      <c r="F34" s="2" t="s">
        <v>340</v>
      </c>
      <c r="G34" s="2" t="s">
        <v>341</v>
      </c>
      <c r="H34" s="2" t="s">
        <v>342</v>
      </c>
      <c r="I34" s="2" t="s">
        <v>343</v>
      </c>
      <c r="J34" s="2" t="s">
        <v>344</v>
      </c>
      <c r="K34" s="2" t="s">
        <v>345</v>
      </c>
      <c r="L34" s="2" t="s">
        <v>346</v>
      </c>
      <c r="M34" s="2" t="s">
        <v>347</v>
      </c>
      <c r="N34" s="2" t="s">
        <v>96</v>
      </c>
      <c r="O34" s="2" t="s">
        <v>71</v>
      </c>
      <c r="P34" s="9"/>
      <c r="Q34" s="9"/>
      <c r="R34" s="9"/>
      <c r="S34" s="9"/>
      <c r="T34" s="9"/>
      <c r="U34" s="9"/>
      <c r="V34" s="9"/>
      <c r="W34" s="2"/>
      <c r="X34" s="2" t="s">
        <v>327</v>
      </c>
      <c r="Y34" s="2" t="s">
        <v>328</v>
      </c>
      <c r="Z34" s="2" t="s">
        <v>329</v>
      </c>
      <c r="AA34" s="2" t="s">
        <v>348</v>
      </c>
    </row>
    <row r="35" spans="1:27" ht="43.2" x14ac:dyDescent="0.3">
      <c r="A35" s="2" t="s">
        <v>317</v>
      </c>
      <c r="B35" s="6" t="s">
        <v>318</v>
      </c>
      <c r="C35" s="2" t="s">
        <v>86</v>
      </c>
      <c r="D35" s="2">
        <v>4</v>
      </c>
      <c r="E35" s="2" t="s">
        <v>87</v>
      </c>
      <c r="F35" s="2" t="s">
        <v>349</v>
      </c>
      <c r="G35" s="2" t="s">
        <v>350</v>
      </c>
      <c r="H35" s="2" t="s">
        <v>351</v>
      </c>
      <c r="I35" s="2" t="s">
        <v>352</v>
      </c>
      <c r="J35" s="2" t="s">
        <v>353</v>
      </c>
      <c r="K35" s="2" t="s">
        <v>354</v>
      </c>
      <c r="L35" s="2" t="s">
        <v>355</v>
      </c>
      <c r="M35" s="2" t="s">
        <v>356</v>
      </c>
      <c r="N35" s="2" t="s">
        <v>96</v>
      </c>
      <c r="O35" s="2" t="s">
        <v>73</v>
      </c>
      <c r="P35" s="9"/>
      <c r="Q35" s="9"/>
      <c r="R35" s="9"/>
      <c r="S35" s="9"/>
      <c r="T35" s="9"/>
      <c r="U35" s="9"/>
      <c r="V35" s="9"/>
      <c r="W35" s="2"/>
      <c r="X35" s="2" t="s">
        <v>327</v>
      </c>
      <c r="Y35" s="2" t="s">
        <v>328</v>
      </c>
      <c r="Z35" s="2" t="s">
        <v>329</v>
      </c>
      <c r="AA35" s="2" t="s">
        <v>357</v>
      </c>
    </row>
    <row r="36" spans="1:27" ht="43.2" x14ac:dyDescent="0.3">
      <c r="A36" s="2" t="s">
        <v>317</v>
      </c>
      <c r="B36" s="6" t="s">
        <v>318</v>
      </c>
      <c r="C36" s="2" t="s">
        <v>86</v>
      </c>
      <c r="D36" s="2">
        <v>5</v>
      </c>
      <c r="E36" s="2" t="s">
        <v>126</v>
      </c>
      <c r="F36" s="2" t="s">
        <v>358</v>
      </c>
      <c r="G36" s="2" t="s">
        <v>128</v>
      </c>
      <c r="H36" s="2" t="s">
        <v>129</v>
      </c>
      <c r="I36" s="2"/>
      <c r="J36" s="2"/>
      <c r="K36" s="2" t="s">
        <v>130</v>
      </c>
      <c r="L36" s="2" t="s">
        <v>359</v>
      </c>
      <c r="M36" s="2" t="s">
        <v>360</v>
      </c>
      <c r="N36" s="2" t="s">
        <v>96</v>
      </c>
      <c r="O36" s="2" t="s">
        <v>70</v>
      </c>
      <c r="P36" s="9"/>
      <c r="Q36" s="9"/>
      <c r="R36" s="9"/>
      <c r="S36" s="9"/>
      <c r="T36" s="9"/>
      <c r="U36" s="9"/>
      <c r="V36" s="9"/>
      <c r="W36" s="2"/>
      <c r="X36" s="2" t="s">
        <v>327</v>
      </c>
      <c r="Y36" s="2" t="s">
        <v>328</v>
      </c>
      <c r="Z36" s="2" t="s">
        <v>329</v>
      </c>
      <c r="AA36" s="2" t="s">
        <v>339</v>
      </c>
    </row>
    <row r="37" spans="1:27" ht="43.2" x14ac:dyDescent="0.3">
      <c r="A37" s="2" t="s">
        <v>361</v>
      </c>
      <c r="B37" s="6" t="s">
        <v>318</v>
      </c>
      <c r="C37" s="2" t="s">
        <v>134</v>
      </c>
      <c r="D37" s="2">
        <v>1</v>
      </c>
      <c r="E37" s="2" t="s">
        <v>87</v>
      </c>
      <c r="F37" s="2" t="s">
        <v>362</v>
      </c>
      <c r="G37" s="2" t="s">
        <v>363</v>
      </c>
      <c r="H37" s="2" t="s">
        <v>364</v>
      </c>
      <c r="I37" s="2" t="s">
        <v>365</v>
      </c>
      <c r="J37" s="2" t="s">
        <v>366</v>
      </c>
      <c r="K37" s="2" t="s">
        <v>367</v>
      </c>
      <c r="L37" s="2" t="s">
        <v>368</v>
      </c>
      <c r="M37" s="2" t="s">
        <v>369</v>
      </c>
      <c r="N37" s="2" t="s">
        <v>96</v>
      </c>
      <c r="O37" s="2" t="s">
        <v>72</v>
      </c>
      <c r="P37" s="9"/>
      <c r="Q37" s="9"/>
      <c r="R37" s="9"/>
      <c r="S37" s="9"/>
      <c r="T37" s="9"/>
      <c r="U37" s="9"/>
      <c r="V37" s="9"/>
      <c r="W37" s="2"/>
      <c r="X37" s="2" t="s">
        <v>327</v>
      </c>
      <c r="Y37" s="2" t="s">
        <v>370</v>
      </c>
      <c r="Z37" s="2" t="s">
        <v>329</v>
      </c>
      <c r="AA37" s="2" t="s">
        <v>339</v>
      </c>
    </row>
    <row r="38" spans="1:27" ht="43.2" x14ac:dyDescent="0.3">
      <c r="A38" s="2" t="s">
        <v>361</v>
      </c>
      <c r="B38" s="6" t="s">
        <v>318</v>
      </c>
      <c r="C38" s="2" t="s">
        <v>134</v>
      </c>
      <c r="D38" s="2">
        <v>2</v>
      </c>
      <c r="E38" s="2" t="s">
        <v>87</v>
      </c>
      <c r="F38" s="2" t="s">
        <v>371</v>
      </c>
      <c r="G38" s="2" t="s">
        <v>323</v>
      </c>
      <c r="H38" s="2" t="s">
        <v>372</v>
      </c>
      <c r="I38" s="2" t="s">
        <v>373</v>
      </c>
      <c r="J38" s="2" t="s">
        <v>374</v>
      </c>
      <c r="K38" s="2" t="s">
        <v>375</v>
      </c>
      <c r="L38" s="2" t="s">
        <v>376</v>
      </c>
      <c r="M38" s="2" t="s">
        <v>377</v>
      </c>
      <c r="N38" s="2" t="s">
        <v>96</v>
      </c>
      <c r="O38" s="2" t="s">
        <v>70</v>
      </c>
      <c r="P38" s="9"/>
      <c r="Q38" s="9"/>
      <c r="R38" s="9"/>
      <c r="S38" s="9"/>
      <c r="T38" s="9"/>
      <c r="U38" s="9"/>
      <c r="V38" s="9"/>
      <c r="W38" s="2"/>
      <c r="X38" s="2" t="s">
        <v>327</v>
      </c>
      <c r="Y38" s="2" t="s">
        <v>370</v>
      </c>
      <c r="Z38" s="2" t="s">
        <v>329</v>
      </c>
      <c r="AA38" s="2" t="s">
        <v>330</v>
      </c>
    </row>
    <row r="39" spans="1:27" ht="57.6" x14ac:dyDescent="0.3">
      <c r="A39" s="2" t="s">
        <v>361</v>
      </c>
      <c r="B39" s="6" t="s">
        <v>318</v>
      </c>
      <c r="C39" s="2" t="s">
        <v>134</v>
      </c>
      <c r="D39" s="2">
        <v>3</v>
      </c>
      <c r="E39" s="2" t="s">
        <v>87</v>
      </c>
      <c r="F39" s="2" t="s">
        <v>378</v>
      </c>
      <c r="G39" s="2" t="s">
        <v>366</v>
      </c>
      <c r="H39" s="2" t="s">
        <v>363</v>
      </c>
      <c r="I39" s="2" t="s">
        <v>379</v>
      </c>
      <c r="J39" s="2" t="s">
        <v>380</v>
      </c>
      <c r="K39" s="2" t="s">
        <v>381</v>
      </c>
      <c r="L39" s="2" t="s">
        <v>382</v>
      </c>
      <c r="M39" s="2" t="s">
        <v>383</v>
      </c>
      <c r="N39" s="2" t="s">
        <v>96</v>
      </c>
      <c r="O39" s="2" t="s">
        <v>73</v>
      </c>
      <c r="P39" s="9"/>
      <c r="Q39" s="9"/>
      <c r="R39" s="9"/>
      <c r="S39" s="9"/>
      <c r="T39" s="9"/>
      <c r="U39" s="9"/>
      <c r="V39" s="9"/>
      <c r="W39" s="2"/>
      <c r="X39" s="2" t="s">
        <v>327</v>
      </c>
      <c r="Y39" s="2" t="s">
        <v>370</v>
      </c>
      <c r="Z39" s="2" t="s">
        <v>329</v>
      </c>
      <c r="AA39" s="2" t="s">
        <v>339</v>
      </c>
    </row>
    <row r="40" spans="1:27" ht="43.2" x14ac:dyDescent="0.3">
      <c r="A40" s="2" t="s">
        <v>361</v>
      </c>
      <c r="B40" s="6" t="s">
        <v>318</v>
      </c>
      <c r="C40" s="2" t="s">
        <v>134</v>
      </c>
      <c r="D40" s="2">
        <v>4</v>
      </c>
      <c r="E40" s="2" t="s">
        <v>87</v>
      </c>
      <c r="F40" s="2" t="s">
        <v>384</v>
      </c>
      <c r="G40" s="2" t="s">
        <v>385</v>
      </c>
      <c r="H40" s="2" t="s">
        <v>341</v>
      </c>
      <c r="I40" s="2" t="s">
        <v>365</v>
      </c>
      <c r="J40" s="2" t="s">
        <v>364</v>
      </c>
      <c r="K40" s="2" t="s">
        <v>386</v>
      </c>
      <c r="L40" s="2" t="s">
        <v>387</v>
      </c>
      <c r="M40" s="2" t="s">
        <v>388</v>
      </c>
      <c r="N40" s="2" t="s">
        <v>96</v>
      </c>
      <c r="O40" s="2" t="s">
        <v>71</v>
      </c>
      <c r="P40" s="9"/>
      <c r="Q40" s="9"/>
      <c r="R40" s="9"/>
      <c r="S40" s="9"/>
      <c r="T40" s="9"/>
      <c r="U40" s="9"/>
      <c r="V40" s="9"/>
      <c r="W40" s="2"/>
      <c r="X40" s="2" t="s">
        <v>327</v>
      </c>
      <c r="Y40" s="2" t="s">
        <v>370</v>
      </c>
      <c r="Z40" s="2" t="s">
        <v>329</v>
      </c>
      <c r="AA40" s="2" t="s">
        <v>348</v>
      </c>
    </row>
    <row r="41" spans="1:27" ht="43.2" x14ac:dyDescent="0.3">
      <c r="A41" s="2" t="s">
        <v>361</v>
      </c>
      <c r="B41" s="6" t="s">
        <v>318</v>
      </c>
      <c r="C41" s="2" t="s">
        <v>134</v>
      </c>
      <c r="D41" s="2">
        <v>5</v>
      </c>
      <c r="E41" s="2" t="s">
        <v>126</v>
      </c>
      <c r="F41" s="2" t="s">
        <v>389</v>
      </c>
      <c r="G41" s="2" t="s">
        <v>128</v>
      </c>
      <c r="H41" s="2" t="s">
        <v>129</v>
      </c>
      <c r="I41" s="2"/>
      <c r="J41" s="2"/>
      <c r="K41" s="2" t="s">
        <v>130</v>
      </c>
      <c r="L41" s="2" t="s">
        <v>390</v>
      </c>
      <c r="M41" s="2" t="s">
        <v>391</v>
      </c>
      <c r="N41" s="2" t="s">
        <v>96</v>
      </c>
      <c r="O41" s="2" t="s">
        <v>70</v>
      </c>
      <c r="P41" s="9"/>
      <c r="Q41" s="9"/>
      <c r="R41" s="9"/>
      <c r="S41" s="9"/>
      <c r="T41" s="9"/>
      <c r="U41" s="9"/>
      <c r="V41" s="9"/>
      <c r="W41" s="2"/>
      <c r="X41" s="2" t="s">
        <v>327</v>
      </c>
      <c r="Y41" s="2" t="s">
        <v>370</v>
      </c>
      <c r="Z41" s="2" t="s">
        <v>329</v>
      </c>
      <c r="AA41" s="2" t="s">
        <v>330</v>
      </c>
    </row>
    <row r="42" spans="1:27" ht="43.2" x14ac:dyDescent="0.3">
      <c r="A42" s="2" t="s">
        <v>392</v>
      </c>
      <c r="B42" s="6" t="s">
        <v>318</v>
      </c>
      <c r="C42" s="2" t="s">
        <v>172</v>
      </c>
      <c r="D42" s="2">
        <v>1</v>
      </c>
      <c r="E42" s="2" t="s">
        <v>87</v>
      </c>
      <c r="F42" s="2" t="s">
        <v>393</v>
      </c>
      <c r="G42" s="2" t="s">
        <v>394</v>
      </c>
      <c r="H42" s="2" t="s">
        <v>395</v>
      </c>
      <c r="I42" s="2" t="s">
        <v>364</v>
      </c>
      <c r="J42" s="2" t="s">
        <v>379</v>
      </c>
      <c r="K42" s="2" t="s">
        <v>396</v>
      </c>
      <c r="L42" s="2" t="s">
        <v>397</v>
      </c>
      <c r="M42" s="2" t="s">
        <v>398</v>
      </c>
      <c r="N42" s="2" t="s">
        <v>96</v>
      </c>
      <c r="O42" s="2" t="s">
        <v>71</v>
      </c>
      <c r="P42" s="9"/>
      <c r="Q42" s="9"/>
      <c r="R42" s="9"/>
      <c r="S42" s="9"/>
      <c r="T42" s="9"/>
      <c r="U42" s="9"/>
      <c r="V42" s="9"/>
      <c r="W42" s="2"/>
      <c r="X42" s="2" t="s">
        <v>327</v>
      </c>
      <c r="Y42" s="2" t="s">
        <v>399</v>
      </c>
      <c r="Z42" s="2" t="s">
        <v>329</v>
      </c>
      <c r="AA42" s="2" t="s">
        <v>330</v>
      </c>
    </row>
    <row r="43" spans="1:27" ht="43.2" x14ac:dyDescent="0.3">
      <c r="A43" s="2" t="s">
        <v>392</v>
      </c>
      <c r="B43" s="6" t="s">
        <v>318</v>
      </c>
      <c r="C43" s="2" t="s">
        <v>172</v>
      </c>
      <c r="D43" s="2">
        <v>2</v>
      </c>
      <c r="E43" s="2" t="s">
        <v>87</v>
      </c>
      <c r="F43" s="2" t="s">
        <v>400</v>
      </c>
      <c r="G43" s="2" t="s">
        <v>401</v>
      </c>
      <c r="H43" s="2" t="s">
        <v>402</v>
      </c>
      <c r="I43" s="2" t="s">
        <v>403</v>
      </c>
      <c r="J43" s="2" t="s">
        <v>404</v>
      </c>
      <c r="K43" s="2" t="s">
        <v>405</v>
      </c>
      <c r="L43" s="2" t="s">
        <v>406</v>
      </c>
      <c r="M43" s="2" t="s">
        <v>407</v>
      </c>
      <c r="N43" s="2" t="s">
        <v>96</v>
      </c>
      <c r="O43" s="2" t="s">
        <v>70</v>
      </c>
      <c r="P43" s="9"/>
      <c r="Q43" s="9"/>
      <c r="R43" s="9"/>
      <c r="S43" s="9"/>
      <c r="T43" s="9"/>
      <c r="U43" s="9"/>
      <c r="V43" s="9"/>
      <c r="W43" s="2"/>
      <c r="X43" s="2" t="s">
        <v>327</v>
      </c>
      <c r="Y43" s="2" t="s">
        <v>399</v>
      </c>
      <c r="Z43" s="2" t="s">
        <v>329</v>
      </c>
      <c r="AA43" s="2" t="s">
        <v>339</v>
      </c>
    </row>
    <row r="44" spans="1:27" ht="43.2" x14ac:dyDescent="0.3">
      <c r="A44" s="2" t="s">
        <v>392</v>
      </c>
      <c r="B44" s="6" t="s">
        <v>318</v>
      </c>
      <c r="C44" s="2" t="s">
        <v>172</v>
      </c>
      <c r="D44" s="2">
        <v>3</v>
      </c>
      <c r="E44" s="2" t="s">
        <v>126</v>
      </c>
      <c r="F44" s="2" t="s">
        <v>408</v>
      </c>
      <c r="G44" s="2" t="s">
        <v>128</v>
      </c>
      <c r="H44" s="2" t="s">
        <v>129</v>
      </c>
      <c r="I44" s="2"/>
      <c r="J44" s="2"/>
      <c r="K44" s="2" t="s">
        <v>185</v>
      </c>
      <c r="L44" s="2" t="s">
        <v>409</v>
      </c>
      <c r="M44" s="2" t="s">
        <v>410</v>
      </c>
      <c r="N44" s="2" t="s">
        <v>96</v>
      </c>
      <c r="O44" s="2" t="s">
        <v>71</v>
      </c>
      <c r="P44" s="9"/>
      <c r="Q44" s="9"/>
      <c r="R44" s="9"/>
      <c r="S44" s="9"/>
      <c r="T44" s="9"/>
      <c r="U44" s="9"/>
      <c r="V44" s="9"/>
      <c r="W44" s="2"/>
      <c r="X44" s="2" t="s">
        <v>327</v>
      </c>
      <c r="Y44" s="2" t="s">
        <v>399</v>
      </c>
      <c r="Z44" s="2" t="s">
        <v>329</v>
      </c>
      <c r="AA44" s="2" t="s">
        <v>348</v>
      </c>
    </row>
    <row r="45" spans="1:27" ht="43.2" x14ac:dyDescent="0.3">
      <c r="A45" s="2" t="s">
        <v>392</v>
      </c>
      <c r="B45" s="6" t="s">
        <v>318</v>
      </c>
      <c r="C45" s="2" t="s">
        <v>172</v>
      </c>
      <c r="D45" s="2">
        <v>4</v>
      </c>
      <c r="E45" s="2" t="s">
        <v>87</v>
      </c>
      <c r="F45" s="2" t="s">
        <v>411</v>
      </c>
      <c r="G45" s="2" t="s">
        <v>412</v>
      </c>
      <c r="H45" s="2" t="s">
        <v>413</v>
      </c>
      <c r="I45" s="2" t="s">
        <v>414</v>
      </c>
      <c r="J45" s="2" t="s">
        <v>415</v>
      </c>
      <c r="K45" s="2" t="s">
        <v>416</v>
      </c>
      <c r="L45" s="2" t="s">
        <v>417</v>
      </c>
      <c r="M45" s="2" t="s">
        <v>418</v>
      </c>
      <c r="N45" s="2" t="s">
        <v>96</v>
      </c>
      <c r="O45" s="2" t="s">
        <v>73</v>
      </c>
      <c r="P45" s="9"/>
      <c r="Q45" s="9"/>
      <c r="R45" s="9"/>
      <c r="S45" s="9"/>
      <c r="T45" s="9"/>
      <c r="U45" s="9"/>
      <c r="V45" s="9"/>
      <c r="W45" s="2"/>
      <c r="X45" s="2" t="s">
        <v>327</v>
      </c>
      <c r="Y45" s="2" t="s">
        <v>399</v>
      </c>
      <c r="Z45" s="2" t="s">
        <v>329</v>
      </c>
      <c r="AA45" s="2" t="s">
        <v>357</v>
      </c>
    </row>
    <row r="46" spans="1:27" ht="43.2" x14ac:dyDescent="0.3">
      <c r="A46" s="2" t="s">
        <v>392</v>
      </c>
      <c r="B46" s="6" t="s">
        <v>318</v>
      </c>
      <c r="C46" s="2" t="s">
        <v>172</v>
      </c>
      <c r="D46" s="2">
        <v>5</v>
      </c>
      <c r="E46" s="2" t="s">
        <v>87</v>
      </c>
      <c r="F46" s="2" t="s">
        <v>419</v>
      </c>
      <c r="G46" s="2" t="s">
        <v>420</v>
      </c>
      <c r="H46" s="2" t="s">
        <v>421</v>
      </c>
      <c r="I46" s="2" t="s">
        <v>422</v>
      </c>
      <c r="J46" s="2" t="s">
        <v>423</v>
      </c>
      <c r="K46" s="2" t="s">
        <v>424</v>
      </c>
      <c r="L46" s="2" t="s">
        <v>425</v>
      </c>
      <c r="M46" s="2" t="s">
        <v>426</v>
      </c>
      <c r="N46" s="2" t="s">
        <v>96</v>
      </c>
      <c r="O46" s="2" t="s">
        <v>72</v>
      </c>
      <c r="P46" s="9"/>
      <c r="Q46" s="9"/>
      <c r="R46" s="9"/>
      <c r="S46" s="9"/>
      <c r="T46" s="9"/>
      <c r="U46" s="9"/>
      <c r="V46" s="9"/>
      <c r="W46" s="2"/>
      <c r="X46" s="2" t="s">
        <v>327</v>
      </c>
      <c r="Y46" s="2" t="s">
        <v>399</v>
      </c>
      <c r="Z46" s="2" t="s">
        <v>329</v>
      </c>
      <c r="AA46" s="2" t="s">
        <v>339</v>
      </c>
    </row>
    <row r="47" spans="1:27" ht="57.6" x14ac:dyDescent="0.3">
      <c r="A47" s="2" t="s">
        <v>427</v>
      </c>
      <c r="B47" s="6" t="s">
        <v>428</v>
      </c>
      <c r="C47" s="2" t="s">
        <v>134</v>
      </c>
      <c r="D47" s="2">
        <v>1</v>
      </c>
      <c r="E47" s="2" t="s">
        <v>87</v>
      </c>
      <c r="F47" s="2" t="s">
        <v>429</v>
      </c>
      <c r="G47" s="2" t="s">
        <v>430</v>
      </c>
      <c r="H47" s="2" t="s">
        <v>431</v>
      </c>
      <c r="I47" s="2" t="s">
        <v>432</v>
      </c>
      <c r="J47" s="2" t="s">
        <v>433</v>
      </c>
      <c r="K47" s="2" t="s">
        <v>434</v>
      </c>
      <c r="L47" s="2" t="s">
        <v>435</v>
      </c>
      <c r="M47" s="2" t="s">
        <v>436</v>
      </c>
      <c r="N47" s="2" t="s">
        <v>96</v>
      </c>
      <c r="O47" s="2" t="s">
        <v>73</v>
      </c>
      <c r="P47" s="9"/>
      <c r="Q47" s="9"/>
      <c r="R47" s="9"/>
      <c r="S47" s="9"/>
      <c r="T47" s="9"/>
      <c r="U47" s="9"/>
      <c r="V47" s="9"/>
      <c r="W47" s="2"/>
      <c r="X47" s="2" t="s">
        <v>437</v>
      </c>
      <c r="Y47" s="2" t="s">
        <v>438</v>
      </c>
      <c r="Z47" s="2" t="s">
        <v>439</v>
      </c>
      <c r="AA47" s="2" t="s">
        <v>440</v>
      </c>
    </row>
    <row r="48" spans="1:27" ht="57.6" x14ac:dyDescent="0.3">
      <c r="A48" s="2" t="s">
        <v>427</v>
      </c>
      <c r="B48" s="6" t="s">
        <v>428</v>
      </c>
      <c r="C48" s="2" t="s">
        <v>134</v>
      </c>
      <c r="D48" s="2">
        <v>2</v>
      </c>
      <c r="E48" s="2" t="s">
        <v>87</v>
      </c>
      <c r="F48" s="2" t="s">
        <v>441</v>
      </c>
      <c r="G48" s="2" t="s">
        <v>442</v>
      </c>
      <c r="H48" s="2" t="s">
        <v>443</v>
      </c>
      <c r="I48" s="2" t="s">
        <v>444</v>
      </c>
      <c r="J48" s="2" t="s">
        <v>445</v>
      </c>
      <c r="K48" s="2" t="s">
        <v>446</v>
      </c>
      <c r="L48" s="2" t="s">
        <v>447</v>
      </c>
      <c r="M48" s="2" t="s">
        <v>448</v>
      </c>
      <c r="N48" s="2" t="s">
        <v>96</v>
      </c>
      <c r="O48" s="2" t="s">
        <v>71</v>
      </c>
      <c r="P48" s="9"/>
      <c r="Q48" s="9"/>
      <c r="R48" s="9"/>
      <c r="S48" s="9"/>
      <c r="T48" s="9"/>
      <c r="U48" s="9"/>
      <c r="V48" s="9"/>
      <c r="W48" s="2"/>
      <c r="X48" s="2" t="s">
        <v>437</v>
      </c>
      <c r="Y48" s="2" t="s">
        <v>438</v>
      </c>
      <c r="Z48" s="2" t="s">
        <v>439</v>
      </c>
      <c r="AA48" s="2" t="s">
        <v>449</v>
      </c>
    </row>
    <row r="49" spans="1:27" ht="57.6" x14ac:dyDescent="0.3">
      <c r="A49" s="2" t="s">
        <v>427</v>
      </c>
      <c r="B49" s="6" t="s">
        <v>428</v>
      </c>
      <c r="C49" s="2" t="s">
        <v>134</v>
      </c>
      <c r="D49" s="2">
        <v>3</v>
      </c>
      <c r="E49" s="2" t="s">
        <v>126</v>
      </c>
      <c r="F49" s="2" t="s">
        <v>450</v>
      </c>
      <c r="G49" s="2" t="s">
        <v>128</v>
      </c>
      <c r="H49" s="2" t="s">
        <v>129</v>
      </c>
      <c r="I49" s="2"/>
      <c r="J49" s="2"/>
      <c r="K49" s="2" t="s">
        <v>130</v>
      </c>
      <c r="L49" s="2" t="s">
        <v>451</v>
      </c>
      <c r="M49" s="2" t="s">
        <v>452</v>
      </c>
      <c r="N49" s="2" t="s">
        <v>96</v>
      </c>
      <c r="O49" s="2" t="s">
        <v>70</v>
      </c>
      <c r="P49" s="9"/>
      <c r="Q49" s="9"/>
      <c r="R49" s="9"/>
      <c r="S49" s="9"/>
      <c r="T49" s="9"/>
      <c r="U49" s="9"/>
      <c r="V49" s="9"/>
      <c r="W49" s="2"/>
      <c r="X49" s="2" t="s">
        <v>437</v>
      </c>
      <c r="Y49" s="2" t="s">
        <v>438</v>
      </c>
      <c r="Z49" s="2" t="s">
        <v>439</v>
      </c>
      <c r="AA49" s="2" t="s">
        <v>453</v>
      </c>
    </row>
    <row r="50" spans="1:27" ht="57.6" x14ac:dyDescent="0.3">
      <c r="A50" s="2" t="s">
        <v>427</v>
      </c>
      <c r="B50" s="6" t="s">
        <v>428</v>
      </c>
      <c r="C50" s="2" t="s">
        <v>134</v>
      </c>
      <c r="D50" s="2">
        <v>4</v>
      </c>
      <c r="E50" s="2" t="s">
        <v>87</v>
      </c>
      <c r="F50" s="2" t="s">
        <v>454</v>
      </c>
      <c r="G50" s="2" t="s">
        <v>455</v>
      </c>
      <c r="H50" s="2" t="s">
        <v>456</v>
      </c>
      <c r="I50" s="2" t="s">
        <v>457</v>
      </c>
      <c r="J50" s="2" t="s">
        <v>458</v>
      </c>
      <c r="K50" s="2" t="s">
        <v>459</v>
      </c>
      <c r="L50" s="2" t="s">
        <v>460</v>
      </c>
      <c r="M50" s="2" t="s">
        <v>461</v>
      </c>
      <c r="N50" s="2" t="s">
        <v>96</v>
      </c>
      <c r="O50" s="2" t="s">
        <v>70</v>
      </c>
      <c r="P50" s="9"/>
      <c r="Q50" s="9"/>
      <c r="R50" s="9"/>
      <c r="S50" s="9"/>
      <c r="T50" s="9"/>
      <c r="U50" s="9"/>
      <c r="V50" s="9"/>
      <c r="W50" s="2"/>
      <c r="X50" s="2" t="s">
        <v>437</v>
      </c>
      <c r="Y50" s="2" t="s">
        <v>438</v>
      </c>
      <c r="Z50" s="2" t="s">
        <v>439</v>
      </c>
      <c r="AA50" s="2" t="s">
        <v>462</v>
      </c>
    </row>
    <row r="51" spans="1:27" ht="43.2" x14ac:dyDescent="0.3">
      <c r="A51" s="2" t="s">
        <v>427</v>
      </c>
      <c r="B51" s="6" t="s">
        <v>428</v>
      </c>
      <c r="C51" s="2" t="s">
        <v>134</v>
      </c>
      <c r="D51" s="2">
        <v>5</v>
      </c>
      <c r="E51" s="2" t="s">
        <v>87</v>
      </c>
      <c r="F51" s="2" t="s">
        <v>463</v>
      </c>
      <c r="G51" s="2" t="s">
        <v>464</v>
      </c>
      <c r="H51" s="2" t="s">
        <v>465</v>
      </c>
      <c r="I51" s="2" t="s">
        <v>466</v>
      </c>
      <c r="J51" s="2" t="s">
        <v>120</v>
      </c>
      <c r="K51" s="2" t="s">
        <v>467</v>
      </c>
      <c r="L51" s="2" t="s">
        <v>468</v>
      </c>
      <c r="M51" s="2" t="s">
        <v>469</v>
      </c>
      <c r="N51" s="2" t="s">
        <v>96</v>
      </c>
      <c r="O51" s="2" t="s">
        <v>72</v>
      </c>
      <c r="P51" s="9"/>
      <c r="Q51" s="9"/>
      <c r="R51" s="9"/>
      <c r="S51" s="9"/>
      <c r="T51" s="9"/>
      <c r="U51" s="9"/>
      <c r="V51" s="9"/>
      <c r="W51" s="2"/>
      <c r="X51" s="2" t="s">
        <v>437</v>
      </c>
      <c r="Y51" s="2" t="s">
        <v>438</v>
      </c>
      <c r="Z51" s="2" t="s">
        <v>439</v>
      </c>
      <c r="AA51" s="2" t="s">
        <v>449</v>
      </c>
    </row>
    <row r="52" spans="1:27" ht="28.8" x14ac:dyDescent="0.3">
      <c r="A52" s="2" t="s">
        <v>470</v>
      </c>
      <c r="B52" s="6" t="s">
        <v>471</v>
      </c>
      <c r="C52" s="2" t="s">
        <v>86</v>
      </c>
      <c r="D52" s="2">
        <v>1</v>
      </c>
      <c r="E52" s="2" t="s">
        <v>87</v>
      </c>
      <c r="F52" s="2" t="s">
        <v>472</v>
      </c>
      <c r="G52" s="2" t="s">
        <v>473</v>
      </c>
      <c r="H52" s="2" t="s">
        <v>474</v>
      </c>
      <c r="I52" s="2" t="s">
        <v>475</v>
      </c>
      <c r="J52" s="2" t="s">
        <v>476</v>
      </c>
      <c r="K52" s="2" t="s">
        <v>477</v>
      </c>
      <c r="L52" s="2" t="s">
        <v>478</v>
      </c>
      <c r="M52" s="2" t="s">
        <v>479</v>
      </c>
      <c r="N52" s="2" t="s">
        <v>96</v>
      </c>
      <c r="O52" s="2" t="s">
        <v>71</v>
      </c>
      <c r="P52" s="9"/>
      <c r="Q52" s="9"/>
      <c r="R52" s="9"/>
      <c r="S52" s="9"/>
      <c r="T52" s="9"/>
      <c r="U52" s="9"/>
      <c r="V52" s="9"/>
      <c r="W52" s="2"/>
      <c r="X52" s="2" t="s">
        <v>480</v>
      </c>
      <c r="Y52" s="2" t="s">
        <v>481</v>
      </c>
      <c r="Z52" s="2" t="s">
        <v>482</v>
      </c>
      <c r="AA52" s="2" t="s">
        <v>483</v>
      </c>
    </row>
    <row r="53" spans="1:27" ht="28.8" x14ac:dyDescent="0.3">
      <c r="A53" s="2" t="s">
        <v>470</v>
      </c>
      <c r="B53" s="6" t="s">
        <v>471</v>
      </c>
      <c r="C53" s="2" t="s">
        <v>86</v>
      </c>
      <c r="D53" s="2">
        <v>2</v>
      </c>
      <c r="E53" s="2" t="s">
        <v>87</v>
      </c>
      <c r="F53" s="2" t="s">
        <v>484</v>
      </c>
      <c r="G53" s="2" t="s">
        <v>485</v>
      </c>
      <c r="H53" s="2" t="s">
        <v>486</v>
      </c>
      <c r="I53" s="2" t="s">
        <v>487</v>
      </c>
      <c r="J53" s="2" t="s">
        <v>488</v>
      </c>
      <c r="K53" s="2" t="s">
        <v>489</v>
      </c>
      <c r="L53" s="2" t="s">
        <v>490</v>
      </c>
      <c r="M53" s="2" t="s">
        <v>491</v>
      </c>
      <c r="N53" s="2" t="s">
        <v>96</v>
      </c>
      <c r="O53" s="2" t="s">
        <v>70</v>
      </c>
      <c r="P53" s="9"/>
      <c r="Q53" s="9"/>
      <c r="R53" s="9"/>
      <c r="S53" s="9"/>
      <c r="T53" s="9"/>
      <c r="U53" s="9"/>
      <c r="V53" s="9"/>
      <c r="W53" s="2"/>
      <c r="X53" s="2" t="s">
        <v>480</v>
      </c>
      <c r="Y53" s="2" t="s">
        <v>481</v>
      </c>
      <c r="Z53" s="2" t="s">
        <v>482</v>
      </c>
      <c r="AA53" s="2" t="s">
        <v>492</v>
      </c>
    </row>
    <row r="54" spans="1:27" ht="28.8" x14ac:dyDescent="0.3">
      <c r="A54" s="2" t="s">
        <v>470</v>
      </c>
      <c r="B54" s="6" t="s">
        <v>471</v>
      </c>
      <c r="C54" s="2" t="s">
        <v>86</v>
      </c>
      <c r="D54" s="2">
        <v>3</v>
      </c>
      <c r="E54" s="2" t="s">
        <v>87</v>
      </c>
      <c r="F54" s="2" t="s">
        <v>493</v>
      </c>
      <c r="G54" s="2" t="s">
        <v>494</v>
      </c>
      <c r="H54" s="2" t="s">
        <v>495</v>
      </c>
      <c r="I54" s="2" t="s">
        <v>496</v>
      </c>
      <c r="J54" s="2" t="s">
        <v>497</v>
      </c>
      <c r="K54" s="2" t="s">
        <v>498</v>
      </c>
      <c r="L54" s="2" t="s">
        <v>499</v>
      </c>
      <c r="M54" s="2" t="s">
        <v>500</v>
      </c>
      <c r="N54" s="2" t="s">
        <v>96</v>
      </c>
      <c r="O54" s="2" t="s">
        <v>73</v>
      </c>
      <c r="P54" s="9"/>
      <c r="Q54" s="9"/>
      <c r="R54" s="9"/>
      <c r="S54" s="9"/>
      <c r="T54" s="9"/>
      <c r="U54" s="9"/>
      <c r="V54" s="9"/>
      <c r="W54" s="2"/>
      <c r="X54" s="2" t="s">
        <v>480</v>
      </c>
      <c r="Y54" s="2" t="s">
        <v>481</v>
      </c>
      <c r="Z54" s="2" t="s">
        <v>482</v>
      </c>
      <c r="AA54" s="2" t="s">
        <v>501</v>
      </c>
    </row>
    <row r="55" spans="1:27" ht="28.8" x14ac:dyDescent="0.3">
      <c r="A55" s="2" t="s">
        <v>470</v>
      </c>
      <c r="B55" s="6" t="s">
        <v>471</v>
      </c>
      <c r="C55" s="2" t="s">
        <v>86</v>
      </c>
      <c r="D55" s="2">
        <v>4</v>
      </c>
      <c r="E55" s="2" t="s">
        <v>126</v>
      </c>
      <c r="F55" s="2" t="s">
        <v>502</v>
      </c>
      <c r="G55" s="2" t="s">
        <v>128</v>
      </c>
      <c r="H55" s="2" t="s">
        <v>129</v>
      </c>
      <c r="I55" s="2"/>
      <c r="J55" s="2"/>
      <c r="K55" s="2" t="s">
        <v>130</v>
      </c>
      <c r="L55" s="2" t="s">
        <v>503</v>
      </c>
      <c r="M55" s="2" t="s">
        <v>504</v>
      </c>
      <c r="N55" s="2" t="s">
        <v>96</v>
      </c>
      <c r="O55" s="2" t="s">
        <v>70</v>
      </c>
      <c r="P55" s="9"/>
      <c r="Q55" s="9"/>
      <c r="R55" s="9"/>
      <c r="S55" s="9"/>
      <c r="T55" s="9"/>
      <c r="U55" s="9"/>
      <c r="V55" s="9"/>
      <c r="W55" s="2"/>
      <c r="X55" s="2" t="s">
        <v>480</v>
      </c>
      <c r="Y55" s="2" t="s">
        <v>481</v>
      </c>
      <c r="Z55" s="2" t="s">
        <v>482</v>
      </c>
      <c r="AA55" s="2" t="s">
        <v>505</v>
      </c>
    </row>
    <row r="56" spans="1:27" ht="28.8" x14ac:dyDescent="0.3">
      <c r="A56" s="2" t="s">
        <v>470</v>
      </c>
      <c r="B56" s="6" t="s">
        <v>471</v>
      </c>
      <c r="C56" s="2" t="s">
        <v>86</v>
      </c>
      <c r="D56" s="2">
        <v>5</v>
      </c>
      <c r="E56" s="2" t="s">
        <v>87</v>
      </c>
      <c r="F56" s="2" t="s">
        <v>506</v>
      </c>
      <c r="G56" s="2" t="s">
        <v>507</v>
      </c>
      <c r="H56" s="2" t="s">
        <v>508</v>
      </c>
      <c r="I56" s="2" t="s">
        <v>509</v>
      </c>
      <c r="J56" s="2" t="s">
        <v>510</v>
      </c>
      <c r="K56" s="2" t="s">
        <v>511</v>
      </c>
      <c r="L56" s="2" t="s">
        <v>512</v>
      </c>
      <c r="M56" s="2" t="s">
        <v>513</v>
      </c>
      <c r="N56" s="2" t="s">
        <v>96</v>
      </c>
      <c r="O56" s="2" t="s">
        <v>72</v>
      </c>
      <c r="P56" s="9"/>
      <c r="Q56" s="9"/>
      <c r="R56" s="9"/>
      <c r="S56" s="9"/>
      <c r="T56" s="9"/>
      <c r="U56" s="9"/>
      <c r="V56" s="9"/>
      <c r="W56" s="2"/>
      <c r="X56" s="2" t="s">
        <v>480</v>
      </c>
      <c r="Y56" s="2" t="s">
        <v>481</v>
      </c>
      <c r="Z56" s="2" t="s">
        <v>482</v>
      </c>
      <c r="AA56" s="2" t="s">
        <v>492</v>
      </c>
    </row>
    <row r="57" spans="1:27" ht="28.8" x14ac:dyDescent="0.3">
      <c r="A57" s="2" t="s">
        <v>514</v>
      </c>
      <c r="B57" s="6" t="s">
        <v>471</v>
      </c>
      <c r="C57" s="2" t="s">
        <v>134</v>
      </c>
      <c r="D57" s="2">
        <v>1</v>
      </c>
      <c r="E57" s="2" t="s">
        <v>87</v>
      </c>
      <c r="F57" s="2" t="s">
        <v>515</v>
      </c>
      <c r="G57" s="2" t="s">
        <v>516</v>
      </c>
      <c r="H57" s="2" t="s">
        <v>517</v>
      </c>
      <c r="I57" s="2" t="s">
        <v>518</v>
      </c>
      <c r="J57" s="2" t="s">
        <v>519</v>
      </c>
      <c r="K57" s="2" t="s">
        <v>520</v>
      </c>
      <c r="L57" s="2" t="s">
        <v>521</v>
      </c>
      <c r="M57" s="2" t="s">
        <v>522</v>
      </c>
      <c r="N57" s="2" t="s">
        <v>96</v>
      </c>
      <c r="O57" s="2" t="s">
        <v>70</v>
      </c>
      <c r="P57" s="9"/>
      <c r="Q57" s="9"/>
      <c r="R57" s="9"/>
      <c r="S57" s="9"/>
      <c r="T57" s="9"/>
      <c r="U57" s="9"/>
      <c r="V57" s="9"/>
      <c r="W57" s="2"/>
      <c r="X57" s="2" t="s">
        <v>480</v>
      </c>
      <c r="Y57" s="2" t="s">
        <v>523</v>
      </c>
      <c r="Z57" s="2" t="s">
        <v>482</v>
      </c>
      <c r="AA57" s="2" t="s">
        <v>483</v>
      </c>
    </row>
    <row r="58" spans="1:27" ht="43.2" x14ac:dyDescent="0.3">
      <c r="A58" s="2" t="s">
        <v>514</v>
      </c>
      <c r="B58" s="6" t="s">
        <v>471</v>
      </c>
      <c r="C58" s="2" t="s">
        <v>134</v>
      </c>
      <c r="D58" s="2">
        <v>2</v>
      </c>
      <c r="E58" s="2" t="s">
        <v>87</v>
      </c>
      <c r="F58" s="2" t="s">
        <v>524</v>
      </c>
      <c r="G58" s="2" t="s">
        <v>525</v>
      </c>
      <c r="H58" s="2" t="s">
        <v>526</v>
      </c>
      <c r="I58" s="2" t="s">
        <v>527</v>
      </c>
      <c r="J58" s="2" t="s">
        <v>528</v>
      </c>
      <c r="K58" s="2" t="s">
        <v>529</v>
      </c>
      <c r="L58" s="2" t="s">
        <v>530</v>
      </c>
      <c r="M58" s="2" t="s">
        <v>531</v>
      </c>
      <c r="N58" s="2" t="s">
        <v>96</v>
      </c>
      <c r="O58" s="2" t="s">
        <v>72</v>
      </c>
      <c r="P58" s="9"/>
      <c r="Q58" s="9"/>
      <c r="R58" s="9"/>
      <c r="S58" s="9"/>
      <c r="T58" s="9"/>
      <c r="U58" s="9"/>
      <c r="V58" s="9"/>
      <c r="W58" s="2"/>
      <c r="X58" s="2" t="s">
        <v>480</v>
      </c>
      <c r="Y58" s="2" t="s">
        <v>523</v>
      </c>
      <c r="Z58" s="2" t="s">
        <v>482</v>
      </c>
      <c r="AA58" s="2" t="s">
        <v>492</v>
      </c>
    </row>
    <row r="59" spans="1:27" ht="28.8" x14ac:dyDescent="0.3">
      <c r="A59" s="2" t="s">
        <v>514</v>
      </c>
      <c r="B59" s="6" t="s">
        <v>471</v>
      </c>
      <c r="C59" s="2" t="s">
        <v>134</v>
      </c>
      <c r="D59" s="2">
        <v>3</v>
      </c>
      <c r="E59" s="2" t="s">
        <v>87</v>
      </c>
      <c r="F59" s="2" t="s">
        <v>532</v>
      </c>
      <c r="G59" s="2" t="s">
        <v>533</v>
      </c>
      <c r="H59" s="2" t="s">
        <v>534</v>
      </c>
      <c r="I59" s="2" t="s">
        <v>535</v>
      </c>
      <c r="J59" s="2" t="s">
        <v>536</v>
      </c>
      <c r="K59" s="2" t="s">
        <v>537</v>
      </c>
      <c r="L59" s="2" t="s">
        <v>538</v>
      </c>
      <c r="M59" s="2" t="s">
        <v>539</v>
      </c>
      <c r="N59" s="2" t="s">
        <v>96</v>
      </c>
      <c r="O59" s="2" t="s">
        <v>73</v>
      </c>
      <c r="P59" s="9"/>
      <c r="Q59" s="9"/>
      <c r="R59" s="9"/>
      <c r="S59" s="9"/>
      <c r="T59" s="9"/>
      <c r="U59" s="9"/>
      <c r="V59" s="9"/>
      <c r="W59" s="2"/>
      <c r="X59" s="2" t="s">
        <v>480</v>
      </c>
      <c r="Y59" s="2" t="s">
        <v>523</v>
      </c>
      <c r="Z59" s="2" t="s">
        <v>482</v>
      </c>
      <c r="AA59" s="2" t="s">
        <v>501</v>
      </c>
    </row>
    <row r="60" spans="1:27" ht="43.2" x14ac:dyDescent="0.3">
      <c r="A60" s="2" t="s">
        <v>514</v>
      </c>
      <c r="B60" s="6" t="s">
        <v>471</v>
      </c>
      <c r="C60" s="2" t="s">
        <v>134</v>
      </c>
      <c r="D60" s="2">
        <v>4</v>
      </c>
      <c r="E60" s="2" t="s">
        <v>87</v>
      </c>
      <c r="F60" s="2" t="s">
        <v>540</v>
      </c>
      <c r="G60" s="2" t="s">
        <v>541</v>
      </c>
      <c r="H60" s="2" t="s">
        <v>542</v>
      </c>
      <c r="I60" s="2" t="s">
        <v>543</v>
      </c>
      <c r="J60" s="2" t="s">
        <v>544</v>
      </c>
      <c r="K60" s="2" t="s">
        <v>545</v>
      </c>
      <c r="L60" s="2" t="s">
        <v>546</v>
      </c>
      <c r="M60" s="2" t="s">
        <v>547</v>
      </c>
      <c r="N60" s="2" t="s">
        <v>96</v>
      </c>
      <c r="O60" s="2" t="s">
        <v>71</v>
      </c>
      <c r="P60" s="9"/>
      <c r="Q60" s="9"/>
      <c r="R60" s="9"/>
      <c r="S60" s="9"/>
      <c r="T60" s="9"/>
      <c r="U60" s="9"/>
      <c r="V60" s="9"/>
      <c r="W60" s="2"/>
      <c r="X60" s="2" t="s">
        <v>480</v>
      </c>
      <c r="Y60" s="2" t="s">
        <v>523</v>
      </c>
      <c r="Z60" s="2" t="s">
        <v>482</v>
      </c>
      <c r="AA60" s="2" t="s">
        <v>501</v>
      </c>
    </row>
    <row r="61" spans="1:27" ht="43.2" x14ac:dyDescent="0.3">
      <c r="A61" s="2" t="s">
        <v>514</v>
      </c>
      <c r="B61" s="6" t="s">
        <v>471</v>
      </c>
      <c r="C61" s="2" t="s">
        <v>134</v>
      </c>
      <c r="D61" s="2">
        <v>5</v>
      </c>
      <c r="E61" s="2" t="s">
        <v>126</v>
      </c>
      <c r="F61" s="2" t="s">
        <v>548</v>
      </c>
      <c r="G61" s="2" t="s">
        <v>128</v>
      </c>
      <c r="H61" s="2" t="s">
        <v>129</v>
      </c>
      <c r="I61" s="2"/>
      <c r="J61" s="2"/>
      <c r="K61" s="2" t="s">
        <v>130</v>
      </c>
      <c r="L61" s="2" t="s">
        <v>549</v>
      </c>
      <c r="M61" s="2" t="s">
        <v>550</v>
      </c>
      <c r="N61" s="2" t="s">
        <v>96</v>
      </c>
      <c r="O61" s="2" t="s">
        <v>70</v>
      </c>
      <c r="P61" s="9"/>
      <c r="Q61" s="9"/>
      <c r="R61" s="9"/>
      <c r="S61" s="9"/>
      <c r="T61" s="9"/>
      <c r="U61" s="9"/>
      <c r="V61" s="9"/>
      <c r="W61" s="2"/>
      <c r="X61" s="2" t="s">
        <v>480</v>
      </c>
      <c r="Y61" s="2" t="s">
        <v>523</v>
      </c>
      <c r="Z61" s="2" t="s">
        <v>482</v>
      </c>
      <c r="AA61" s="2" t="s">
        <v>505</v>
      </c>
    </row>
    <row r="62" spans="1:27" ht="43.2" x14ac:dyDescent="0.3">
      <c r="A62" s="2" t="s">
        <v>551</v>
      </c>
      <c r="B62" s="6" t="s">
        <v>471</v>
      </c>
      <c r="C62" s="2" t="s">
        <v>172</v>
      </c>
      <c r="D62" s="2">
        <v>1</v>
      </c>
      <c r="E62" s="2" t="s">
        <v>87</v>
      </c>
      <c r="F62" s="2" t="s">
        <v>552</v>
      </c>
      <c r="G62" s="2" t="s">
        <v>553</v>
      </c>
      <c r="H62" s="2" t="s">
        <v>554</v>
      </c>
      <c r="I62" s="2" t="s">
        <v>555</v>
      </c>
      <c r="J62" s="2" t="s">
        <v>556</v>
      </c>
      <c r="K62" s="2" t="s">
        <v>557</v>
      </c>
      <c r="L62" s="2" t="s">
        <v>558</v>
      </c>
      <c r="M62" s="2" t="s">
        <v>559</v>
      </c>
      <c r="N62" s="2" t="s">
        <v>96</v>
      </c>
      <c r="O62" s="2" t="s">
        <v>72</v>
      </c>
      <c r="P62" s="9"/>
      <c r="Q62" s="9"/>
      <c r="R62" s="9"/>
      <c r="S62" s="9"/>
      <c r="T62" s="9"/>
      <c r="U62" s="9"/>
      <c r="V62" s="9"/>
      <c r="W62" s="2"/>
      <c r="X62" s="2" t="s">
        <v>480</v>
      </c>
      <c r="Y62" s="2" t="s">
        <v>560</v>
      </c>
      <c r="Z62" s="2" t="s">
        <v>482</v>
      </c>
      <c r="AA62" s="2" t="s">
        <v>483</v>
      </c>
    </row>
    <row r="63" spans="1:27" ht="43.2" x14ac:dyDescent="0.3">
      <c r="A63" s="2" t="s">
        <v>551</v>
      </c>
      <c r="B63" s="6" t="s">
        <v>471</v>
      </c>
      <c r="C63" s="2" t="s">
        <v>172</v>
      </c>
      <c r="D63" s="2">
        <v>2</v>
      </c>
      <c r="E63" s="2" t="s">
        <v>87</v>
      </c>
      <c r="F63" s="2" t="s">
        <v>561</v>
      </c>
      <c r="G63" s="2" t="s">
        <v>487</v>
      </c>
      <c r="H63" s="2" t="s">
        <v>486</v>
      </c>
      <c r="I63" s="2" t="s">
        <v>562</v>
      </c>
      <c r="J63" s="2" t="s">
        <v>563</v>
      </c>
      <c r="K63" s="2" t="s">
        <v>564</v>
      </c>
      <c r="L63" s="2" t="s">
        <v>565</v>
      </c>
      <c r="M63" s="2" t="s">
        <v>566</v>
      </c>
      <c r="N63" s="2" t="s">
        <v>96</v>
      </c>
      <c r="O63" s="2" t="s">
        <v>70</v>
      </c>
      <c r="P63" s="9"/>
      <c r="Q63" s="9"/>
      <c r="R63" s="9"/>
      <c r="S63" s="9"/>
      <c r="T63" s="9"/>
      <c r="U63" s="9"/>
      <c r="V63" s="9"/>
      <c r="W63" s="2"/>
      <c r="X63" s="2" t="s">
        <v>480</v>
      </c>
      <c r="Y63" s="2" t="s">
        <v>560</v>
      </c>
      <c r="Z63" s="2" t="s">
        <v>482</v>
      </c>
      <c r="AA63" s="2" t="s">
        <v>492</v>
      </c>
    </row>
    <row r="64" spans="1:27" ht="43.2" x14ac:dyDescent="0.3">
      <c r="A64" s="2" t="s">
        <v>551</v>
      </c>
      <c r="B64" s="6" t="s">
        <v>471</v>
      </c>
      <c r="C64" s="2" t="s">
        <v>172</v>
      </c>
      <c r="D64" s="2">
        <v>3</v>
      </c>
      <c r="E64" s="2" t="s">
        <v>87</v>
      </c>
      <c r="F64" s="2" t="s">
        <v>567</v>
      </c>
      <c r="G64" s="2" t="s">
        <v>568</v>
      </c>
      <c r="H64" s="2" t="s">
        <v>569</v>
      </c>
      <c r="I64" s="2" t="s">
        <v>570</v>
      </c>
      <c r="J64" s="2" t="s">
        <v>571</v>
      </c>
      <c r="K64" s="2" t="s">
        <v>572</v>
      </c>
      <c r="L64" s="2" t="s">
        <v>573</v>
      </c>
      <c r="M64" s="2" t="s">
        <v>574</v>
      </c>
      <c r="N64" s="2" t="s">
        <v>96</v>
      </c>
      <c r="O64" s="2" t="s">
        <v>71</v>
      </c>
      <c r="P64" s="9"/>
      <c r="Q64" s="9"/>
      <c r="R64" s="9"/>
      <c r="S64" s="9"/>
      <c r="T64" s="9"/>
      <c r="U64" s="9"/>
      <c r="V64" s="9"/>
      <c r="W64" s="2"/>
      <c r="X64" s="2" t="s">
        <v>480</v>
      </c>
      <c r="Y64" s="2" t="s">
        <v>560</v>
      </c>
      <c r="Z64" s="2" t="s">
        <v>482</v>
      </c>
      <c r="AA64" s="2" t="s">
        <v>483</v>
      </c>
    </row>
    <row r="65" spans="1:27" ht="28.8" x14ac:dyDescent="0.3">
      <c r="A65" s="2" t="s">
        <v>551</v>
      </c>
      <c r="B65" s="6" t="s">
        <v>471</v>
      </c>
      <c r="C65" s="2" t="s">
        <v>172</v>
      </c>
      <c r="D65" s="2">
        <v>4</v>
      </c>
      <c r="E65" s="2" t="s">
        <v>87</v>
      </c>
      <c r="F65" s="2" t="s">
        <v>575</v>
      </c>
      <c r="G65" s="2" t="s">
        <v>576</v>
      </c>
      <c r="H65" s="2" t="s">
        <v>577</v>
      </c>
      <c r="I65" s="2" t="s">
        <v>578</v>
      </c>
      <c r="J65" s="2" t="s">
        <v>579</v>
      </c>
      <c r="K65" s="2" t="s">
        <v>580</v>
      </c>
      <c r="L65" s="2" t="s">
        <v>581</v>
      </c>
      <c r="M65" s="2" t="s">
        <v>582</v>
      </c>
      <c r="N65" s="2" t="s">
        <v>96</v>
      </c>
      <c r="O65" s="2" t="s">
        <v>73</v>
      </c>
      <c r="P65" s="9"/>
      <c r="Q65" s="9"/>
      <c r="R65" s="9"/>
      <c r="S65" s="9"/>
      <c r="T65" s="9"/>
      <c r="U65" s="9"/>
      <c r="V65" s="9"/>
      <c r="W65" s="2"/>
      <c r="X65" s="2" t="s">
        <v>480</v>
      </c>
      <c r="Y65" s="2" t="s">
        <v>560</v>
      </c>
      <c r="Z65" s="2" t="s">
        <v>482</v>
      </c>
      <c r="AA65" s="2" t="s">
        <v>492</v>
      </c>
    </row>
    <row r="66" spans="1:27" ht="43.2" x14ac:dyDescent="0.3">
      <c r="A66" s="2" t="s">
        <v>551</v>
      </c>
      <c r="B66" s="6" t="s">
        <v>471</v>
      </c>
      <c r="C66" s="2" t="s">
        <v>172</v>
      </c>
      <c r="D66" s="2">
        <v>5</v>
      </c>
      <c r="E66" s="2" t="s">
        <v>126</v>
      </c>
      <c r="F66" s="2" t="s">
        <v>583</v>
      </c>
      <c r="G66" s="2" t="s">
        <v>128</v>
      </c>
      <c r="H66" s="2" t="s">
        <v>129</v>
      </c>
      <c r="I66" s="2"/>
      <c r="J66" s="2"/>
      <c r="K66" s="2" t="s">
        <v>130</v>
      </c>
      <c r="L66" s="2" t="s">
        <v>584</v>
      </c>
      <c r="M66" s="2" t="s">
        <v>585</v>
      </c>
      <c r="N66" s="2" t="s">
        <v>96</v>
      </c>
      <c r="O66" s="2" t="s">
        <v>70</v>
      </c>
      <c r="P66" s="9"/>
      <c r="Q66" s="9"/>
      <c r="R66" s="9"/>
      <c r="S66" s="9"/>
      <c r="T66" s="9"/>
      <c r="U66" s="9"/>
      <c r="V66" s="9"/>
      <c r="W66" s="2"/>
      <c r="X66" s="2" t="s">
        <v>480</v>
      </c>
      <c r="Y66" s="2" t="s">
        <v>560</v>
      </c>
      <c r="Z66" s="2" t="s">
        <v>482</v>
      </c>
      <c r="AA66" s="2" t="s">
        <v>505</v>
      </c>
    </row>
    <row r="67" spans="1:27" ht="57.6" x14ac:dyDescent="0.3">
      <c r="A67" s="2" t="s">
        <v>586</v>
      </c>
      <c r="B67" s="6" t="s">
        <v>587</v>
      </c>
      <c r="C67" s="2" t="s">
        <v>172</v>
      </c>
      <c r="D67" s="2">
        <v>1</v>
      </c>
      <c r="E67" s="2" t="s">
        <v>87</v>
      </c>
      <c r="F67" s="2" t="s">
        <v>588</v>
      </c>
      <c r="G67" s="2" t="s">
        <v>589</v>
      </c>
      <c r="H67" s="2" t="s">
        <v>590</v>
      </c>
      <c r="I67" s="2" t="s">
        <v>591</v>
      </c>
      <c r="J67" s="2" t="s">
        <v>592</v>
      </c>
      <c r="K67" s="2" t="s">
        <v>593</v>
      </c>
      <c r="L67" s="2" t="s">
        <v>594</v>
      </c>
      <c r="M67" s="2" t="s">
        <v>595</v>
      </c>
      <c r="N67" s="2" t="s">
        <v>96</v>
      </c>
      <c r="O67" s="2" t="s">
        <v>70</v>
      </c>
      <c r="P67" s="9"/>
      <c r="Q67" s="9"/>
      <c r="R67" s="9"/>
      <c r="S67" s="9"/>
      <c r="T67" s="9"/>
      <c r="U67" s="9"/>
      <c r="V67" s="9"/>
      <c r="W67" s="2"/>
      <c r="X67" s="2" t="s">
        <v>596</v>
      </c>
      <c r="Y67" s="2" t="s">
        <v>597</v>
      </c>
      <c r="Z67" s="2" t="s">
        <v>598</v>
      </c>
      <c r="AA67" s="2" t="s">
        <v>599</v>
      </c>
    </row>
    <row r="68" spans="1:27" ht="57.6" x14ac:dyDescent="0.3">
      <c r="A68" s="2" t="s">
        <v>586</v>
      </c>
      <c r="B68" s="6" t="s">
        <v>587</v>
      </c>
      <c r="C68" s="2" t="s">
        <v>172</v>
      </c>
      <c r="D68" s="2">
        <v>2</v>
      </c>
      <c r="E68" s="2" t="s">
        <v>126</v>
      </c>
      <c r="F68" s="2" t="s">
        <v>600</v>
      </c>
      <c r="G68" s="2" t="s">
        <v>128</v>
      </c>
      <c r="H68" s="2" t="s">
        <v>129</v>
      </c>
      <c r="I68" s="2"/>
      <c r="J68" s="2"/>
      <c r="K68" s="2" t="s">
        <v>185</v>
      </c>
      <c r="L68" s="2" t="s">
        <v>601</v>
      </c>
      <c r="M68" s="2" t="s">
        <v>602</v>
      </c>
      <c r="N68" s="2" t="s">
        <v>96</v>
      </c>
      <c r="O68" s="2" t="s">
        <v>71</v>
      </c>
      <c r="P68" s="9"/>
      <c r="Q68" s="9"/>
      <c r="R68" s="9"/>
      <c r="S68" s="9"/>
      <c r="T68" s="9"/>
      <c r="U68" s="9"/>
      <c r="V68" s="9"/>
      <c r="W68" s="2"/>
      <c r="X68" s="2" t="s">
        <v>596</v>
      </c>
      <c r="Y68" s="2" t="s">
        <v>597</v>
      </c>
      <c r="Z68" s="2" t="s">
        <v>598</v>
      </c>
      <c r="AA68" s="2" t="s">
        <v>603</v>
      </c>
    </row>
    <row r="69" spans="1:27" ht="72" x14ac:dyDescent="0.3">
      <c r="A69" s="2" t="s">
        <v>586</v>
      </c>
      <c r="B69" s="6" t="s">
        <v>587</v>
      </c>
      <c r="C69" s="2" t="s">
        <v>172</v>
      </c>
      <c r="D69" s="2">
        <v>3</v>
      </c>
      <c r="E69" s="2" t="s">
        <v>87</v>
      </c>
      <c r="F69" s="2" t="s">
        <v>604</v>
      </c>
      <c r="G69" s="2" t="s">
        <v>605</v>
      </c>
      <c r="H69" s="2" t="s">
        <v>606</v>
      </c>
      <c r="I69" s="2" t="s">
        <v>607</v>
      </c>
      <c r="J69" s="2" t="s">
        <v>608</v>
      </c>
      <c r="K69" s="2" t="s">
        <v>609</v>
      </c>
      <c r="L69" s="2" t="s">
        <v>610</v>
      </c>
      <c r="M69" s="2" t="s">
        <v>611</v>
      </c>
      <c r="N69" s="2" t="s">
        <v>96</v>
      </c>
      <c r="O69" s="2" t="s">
        <v>73</v>
      </c>
      <c r="P69" s="9"/>
      <c r="Q69" s="9"/>
      <c r="R69" s="9"/>
      <c r="S69" s="9"/>
      <c r="T69" s="9"/>
      <c r="U69" s="9"/>
      <c r="V69" s="9"/>
      <c r="W69" s="2"/>
      <c r="X69" s="2" t="s">
        <v>596</v>
      </c>
      <c r="Y69" s="2" t="s">
        <v>597</v>
      </c>
      <c r="Z69" s="2" t="s">
        <v>598</v>
      </c>
      <c r="AA69" s="2" t="s">
        <v>603</v>
      </c>
    </row>
    <row r="70" spans="1:27" ht="86.4" x14ac:dyDescent="0.3">
      <c r="A70" s="2" t="s">
        <v>586</v>
      </c>
      <c r="B70" s="6" t="s">
        <v>587</v>
      </c>
      <c r="C70" s="2" t="s">
        <v>172</v>
      </c>
      <c r="D70" s="2">
        <v>4</v>
      </c>
      <c r="E70" s="2" t="s">
        <v>87</v>
      </c>
      <c r="F70" s="2" t="s">
        <v>612</v>
      </c>
      <c r="G70" s="2" t="s">
        <v>590</v>
      </c>
      <c r="H70" s="2" t="s">
        <v>591</v>
      </c>
      <c r="I70" s="2" t="s">
        <v>589</v>
      </c>
      <c r="J70" s="2" t="s">
        <v>592</v>
      </c>
      <c r="K70" s="2" t="s">
        <v>613</v>
      </c>
      <c r="L70" s="2" t="s">
        <v>614</v>
      </c>
      <c r="M70" s="2" t="s">
        <v>615</v>
      </c>
      <c r="N70" s="2" t="s">
        <v>96</v>
      </c>
      <c r="O70" s="2" t="s">
        <v>71</v>
      </c>
      <c r="P70" s="9"/>
      <c r="Q70" s="9"/>
      <c r="R70" s="9"/>
      <c r="S70" s="9"/>
      <c r="T70" s="9"/>
      <c r="U70" s="9"/>
      <c r="V70" s="9"/>
      <c r="W70" s="2"/>
      <c r="X70" s="2" t="s">
        <v>596</v>
      </c>
      <c r="Y70" s="2" t="s">
        <v>597</v>
      </c>
      <c r="Z70" s="2" t="s">
        <v>598</v>
      </c>
      <c r="AA70" s="2" t="s">
        <v>603</v>
      </c>
    </row>
    <row r="71" spans="1:27" ht="86.4" x14ac:dyDescent="0.3">
      <c r="A71" s="2" t="s">
        <v>586</v>
      </c>
      <c r="B71" s="6" t="s">
        <v>587</v>
      </c>
      <c r="C71" s="2" t="s">
        <v>172</v>
      </c>
      <c r="D71" s="2">
        <v>5</v>
      </c>
      <c r="E71" s="2" t="s">
        <v>87</v>
      </c>
      <c r="F71" s="2" t="s">
        <v>616</v>
      </c>
      <c r="G71" s="2" t="s">
        <v>590</v>
      </c>
      <c r="H71" s="2" t="s">
        <v>589</v>
      </c>
      <c r="I71" s="2" t="s">
        <v>591</v>
      </c>
      <c r="J71" s="2" t="s">
        <v>592</v>
      </c>
      <c r="K71" s="2" t="s">
        <v>617</v>
      </c>
      <c r="L71" s="2" t="s">
        <v>618</v>
      </c>
      <c r="M71" s="2" t="s">
        <v>619</v>
      </c>
      <c r="N71" s="2" t="s">
        <v>96</v>
      </c>
      <c r="O71" s="2" t="s">
        <v>72</v>
      </c>
      <c r="P71" s="9"/>
      <c r="Q71" s="9"/>
      <c r="R71" s="9"/>
      <c r="S71" s="9"/>
      <c r="T71" s="9"/>
      <c r="U71" s="9"/>
      <c r="V71" s="9"/>
      <c r="W71" s="2"/>
      <c r="X71" s="2" t="s">
        <v>596</v>
      </c>
      <c r="Y71" s="2" t="s">
        <v>597</v>
      </c>
      <c r="Z71" s="2" t="s">
        <v>598</v>
      </c>
      <c r="AA71" s="2" t="s">
        <v>603</v>
      </c>
    </row>
  </sheetData>
  <autoFilter ref="A1:AA71" xr:uid="{00000000-0009-0000-0000-000001000000}"/>
  <conditionalFormatting sqref="P2:V2000">
    <cfRule type="cellIs" dxfId="3" priority="1" operator="equal">
      <formula>"Y"</formula>
    </cfRule>
    <cfRule type="cellIs" dxfId="2" priority="2" operator="equal">
      <formula>"N"</formula>
    </cfRule>
  </conditionalFormatting>
  <dataValidations count="1">
    <dataValidation type="list" allowBlank="1" showErrorMessage="1" sqref="P2:V2000" xr:uid="{00000000-0002-0000-0100-000000000000}">
      <formula1>"Y,N"</formula1>
    </dataValidation>
  </dataValidations>
  <pageMargins left="0.5" right="0.5"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6"/>
  <sheetViews>
    <sheetView workbookViewId="0">
      <pane xSplit="3" ySplit="1" topLeftCell="D2" activePane="bottomRight" state="frozen"/>
      <selection pane="topRight"/>
      <selection pane="bottomLeft"/>
      <selection pane="bottomRight" activeCell="D2" sqref="D2"/>
    </sheetView>
  </sheetViews>
  <sheetFormatPr defaultRowHeight="14.4" x14ac:dyDescent="0.3"/>
  <cols>
    <col min="1" max="1" width="9" customWidth="1"/>
    <col min="2" max="2" width="7" customWidth="1"/>
    <col min="3" max="3" width="8" customWidth="1"/>
    <col min="4" max="4" width="14" customWidth="1"/>
    <col min="5" max="5" width="30" customWidth="1"/>
    <col min="6" max="6" width="7" customWidth="1"/>
    <col min="7" max="7" width="9" customWidth="1"/>
    <col min="8" max="9" width="10" customWidth="1"/>
    <col min="10" max="10" width="11" customWidth="1"/>
    <col min="11" max="13" width="10" customWidth="1"/>
    <col min="14" max="15" width="11" customWidth="1"/>
    <col min="16" max="17" width="9" customWidth="1"/>
    <col min="18" max="18" width="10" customWidth="1"/>
    <col min="19" max="19" width="9" customWidth="1"/>
    <col min="20" max="20" width="10" customWidth="1"/>
    <col min="21" max="21" width="28" customWidth="1"/>
    <col min="22" max="22" width="10" customWidth="1"/>
    <col min="23" max="23" width="44" customWidth="1"/>
  </cols>
  <sheetData>
    <row r="1" spans="1:23" ht="43.2" x14ac:dyDescent="0.3">
      <c r="A1" s="1" t="s">
        <v>64</v>
      </c>
      <c r="B1" s="1" t="s">
        <v>65</v>
      </c>
      <c r="C1" s="1" t="s">
        <v>66</v>
      </c>
      <c r="D1" s="1" t="s">
        <v>620</v>
      </c>
      <c r="E1" s="1" t="s">
        <v>621</v>
      </c>
      <c r="F1" s="1" t="s">
        <v>622</v>
      </c>
      <c r="G1" s="1" t="s">
        <v>623</v>
      </c>
      <c r="H1" s="1" t="s">
        <v>624</v>
      </c>
      <c r="I1" s="1" t="s">
        <v>625</v>
      </c>
      <c r="J1" s="1" t="s">
        <v>626</v>
      </c>
      <c r="K1" s="1" t="s">
        <v>627</v>
      </c>
      <c r="L1" s="1" t="s">
        <v>628</v>
      </c>
      <c r="M1" s="1" t="s">
        <v>629</v>
      </c>
      <c r="N1" s="1" t="s">
        <v>630</v>
      </c>
      <c r="O1" s="1" t="s">
        <v>631</v>
      </c>
      <c r="P1" s="1" t="s">
        <v>632</v>
      </c>
      <c r="Q1" s="1" t="s">
        <v>633</v>
      </c>
      <c r="R1" s="1" t="s">
        <v>634</v>
      </c>
      <c r="S1" s="1" t="s">
        <v>635</v>
      </c>
      <c r="T1" s="1" t="s">
        <v>636</v>
      </c>
      <c r="U1" s="1" t="s">
        <v>637</v>
      </c>
      <c r="V1" s="1" t="s">
        <v>638</v>
      </c>
      <c r="W1" s="1" t="s">
        <v>639</v>
      </c>
    </row>
    <row r="2" spans="1:23" x14ac:dyDescent="0.3">
      <c r="A2" s="2" t="s">
        <v>84</v>
      </c>
      <c r="B2" s="6" t="s">
        <v>85</v>
      </c>
      <c r="C2" s="2" t="s">
        <v>86</v>
      </c>
      <c r="D2" s="2" t="s">
        <v>640</v>
      </c>
      <c r="E2" s="2" t="s">
        <v>641</v>
      </c>
      <c r="F2" s="2">
        <v>5</v>
      </c>
      <c r="G2" s="2">
        <v>5</v>
      </c>
      <c r="H2" s="2" t="s">
        <v>642</v>
      </c>
      <c r="I2" s="2">
        <v>5</v>
      </c>
      <c r="J2" s="2">
        <v>5</v>
      </c>
      <c r="K2" s="7">
        <f t="shared" ref="K2:K16" si="0">IFERROR(J2/I2,"")</f>
        <v>1</v>
      </c>
      <c r="L2" s="2">
        <v>5</v>
      </c>
      <c r="M2" s="2">
        <v>5</v>
      </c>
      <c r="N2" s="7">
        <f t="shared" ref="N2:N16" si="1">IFERROR(M2/L2,"")</f>
        <v>1</v>
      </c>
      <c r="O2" s="2">
        <v>0</v>
      </c>
      <c r="P2" s="2">
        <v>1</v>
      </c>
      <c r="Q2" s="8">
        <v>20</v>
      </c>
      <c r="R2" s="7">
        <v>0.25</v>
      </c>
      <c r="S2" s="2">
        <v>1</v>
      </c>
      <c r="T2" s="2">
        <v>0.80200000000000005</v>
      </c>
      <c r="U2" s="2" t="s">
        <v>643</v>
      </c>
      <c r="V2" s="2" t="s">
        <v>642</v>
      </c>
      <c r="W2" s="2"/>
    </row>
    <row r="3" spans="1:23" x14ac:dyDescent="0.3">
      <c r="A3" s="2" t="s">
        <v>133</v>
      </c>
      <c r="B3" s="6" t="s">
        <v>85</v>
      </c>
      <c r="C3" s="2" t="s">
        <v>134</v>
      </c>
      <c r="D3" s="2" t="s">
        <v>640</v>
      </c>
      <c r="E3" s="2" t="s">
        <v>641</v>
      </c>
      <c r="F3" s="2">
        <v>5</v>
      </c>
      <c r="G3" s="2">
        <v>5</v>
      </c>
      <c r="H3" s="2" t="s">
        <v>642</v>
      </c>
      <c r="I3" s="2">
        <v>5</v>
      </c>
      <c r="J3" s="2">
        <v>5</v>
      </c>
      <c r="K3" s="7">
        <f t="shared" si="0"/>
        <v>1</v>
      </c>
      <c r="L3" s="2">
        <v>5</v>
      </c>
      <c r="M3" s="2">
        <v>5</v>
      </c>
      <c r="N3" s="7">
        <f t="shared" si="1"/>
        <v>1</v>
      </c>
      <c r="O3" s="2">
        <v>0</v>
      </c>
      <c r="P3" s="2">
        <v>1</v>
      </c>
      <c r="Q3" s="8">
        <v>18.399999999999999</v>
      </c>
      <c r="R3" s="7">
        <v>0.25</v>
      </c>
      <c r="S3" s="2">
        <v>1</v>
      </c>
      <c r="T3" s="2">
        <v>0.80100000000000005</v>
      </c>
      <c r="U3" s="2" t="s">
        <v>643</v>
      </c>
      <c r="V3" s="2" t="s">
        <v>642</v>
      </c>
      <c r="W3" s="2"/>
    </row>
    <row r="4" spans="1:23" ht="28.8" x14ac:dyDescent="0.3">
      <c r="A4" s="2" t="s">
        <v>171</v>
      </c>
      <c r="B4" s="6" t="s">
        <v>85</v>
      </c>
      <c r="C4" s="2" t="s">
        <v>172</v>
      </c>
      <c r="D4" s="2" t="s">
        <v>640</v>
      </c>
      <c r="E4" s="2" t="s">
        <v>641</v>
      </c>
      <c r="F4" s="2">
        <v>5</v>
      </c>
      <c r="G4" s="2">
        <v>5</v>
      </c>
      <c r="H4" s="2" t="s">
        <v>642</v>
      </c>
      <c r="I4" s="2">
        <v>6</v>
      </c>
      <c r="J4" s="2">
        <v>6</v>
      </c>
      <c r="K4" s="7">
        <f t="shared" si="0"/>
        <v>1</v>
      </c>
      <c r="L4" s="2">
        <v>6</v>
      </c>
      <c r="M4" s="2">
        <v>5</v>
      </c>
      <c r="N4" s="7">
        <f t="shared" si="1"/>
        <v>0.83333333333333337</v>
      </c>
      <c r="O4" s="2">
        <v>1</v>
      </c>
      <c r="P4" s="2">
        <v>2</v>
      </c>
      <c r="Q4" s="8">
        <v>25.3</v>
      </c>
      <c r="R4" s="7">
        <v>0.25</v>
      </c>
      <c r="S4" s="2">
        <v>1</v>
      </c>
      <c r="T4" s="2">
        <v>0.80200000000000005</v>
      </c>
      <c r="U4" s="2" t="s">
        <v>643</v>
      </c>
      <c r="V4" s="2" t="s">
        <v>642</v>
      </c>
      <c r="W4" s="2" t="s">
        <v>644</v>
      </c>
    </row>
    <row r="5" spans="1:23" x14ac:dyDescent="0.3">
      <c r="A5" s="2" t="s">
        <v>201</v>
      </c>
      <c r="B5" s="6" t="s">
        <v>202</v>
      </c>
      <c r="C5" s="2" t="s">
        <v>86</v>
      </c>
      <c r="D5" s="2" t="s">
        <v>640</v>
      </c>
      <c r="E5" s="2" t="s">
        <v>641</v>
      </c>
      <c r="F5" s="2">
        <v>5</v>
      </c>
      <c r="G5" s="2">
        <v>5</v>
      </c>
      <c r="H5" s="2" t="s">
        <v>642</v>
      </c>
      <c r="I5" s="2">
        <v>6</v>
      </c>
      <c r="J5" s="2">
        <v>5</v>
      </c>
      <c r="K5" s="7">
        <f t="shared" si="0"/>
        <v>0.83333333333333337</v>
      </c>
      <c r="L5" s="2">
        <v>5</v>
      </c>
      <c r="M5" s="2">
        <v>5</v>
      </c>
      <c r="N5" s="7">
        <f t="shared" si="1"/>
        <v>1</v>
      </c>
      <c r="O5" s="2">
        <v>0</v>
      </c>
      <c r="P5" s="2">
        <v>2</v>
      </c>
      <c r="Q5" s="8">
        <v>15.5</v>
      </c>
      <c r="R5" s="7">
        <v>0.4</v>
      </c>
      <c r="S5" s="2">
        <v>0</v>
      </c>
      <c r="T5" s="2">
        <v>0.88400000000000001</v>
      </c>
      <c r="U5" s="2" t="s">
        <v>643</v>
      </c>
      <c r="V5" s="2" t="s">
        <v>642</v>
      </c>
      <c r="W5" s="2"/>
    </row>
    <row r="6" spans="1:23" x14ac:dyDescent="0.3">
      <c r="A6" s="2" t="s">
        <v>250</v>
      </c>
      <c r="B6" s="6" t="s">
        <v>202</v>
      </c>
      <c r="C6" s="2" t="s">
        <v>134</v>
      </c>
      <c r="D6" s="2" t="s">
        <v>640</v>
      </c>
      <c r="E6" s="2" t="s">
        <v>641</v>
      </c>
      <c r="F6" s="2">
        <v>5</v>
      </c>
      <c r="G6" s="2">
        <v>5</v>
      </c>
      <c r="H6" s="2" t="s">
        <v>642</v>
      </c>
      <c r="I6" s="2">
        <v>5</v>
      </c>
      <c r="J6" s="2">
        <v>5</v>
      </c>
      <c r="K6" s="7">
        <f t="shared" si="0"/>
        <v>1</v>
      </c>
      <c r="L6" s="2">
        <v>5</v>
      </c>
      <c r="M6" s="2">
        <v>5</v>
      </c>
      <c r="N6" s="7">
        <f t="shared" si="1"/>
        <v>1</v>
      </c>
      <c r="O6" s="2">
        <v>0</v>
      </c>
      <c r="P6" s="2">
        <v>2</v>
      </c>
      <c r="Q6" s="8">
        <v>56.3</v>
      </c>
      <c r="R6" s="7">
        <v>0.25</v>
      </c>
      <c r="S6" s="2">
        <v>1</v>
      </c>
      <c r="T6" s="2">
        <v>0.88300000000000001</v>
      </c>
      <c r="U6" s="2" t="s">
        <v>643</v>
      </c>
      <c r="V6" s="2" t="s">
        <v>642</v>
      </c>
      <c r="W6" s="2"/>
    </row>
    <row r="7" spans="1:23" x14ac:dyDescent="0.3">
      <c r="A7" s="2" t="s">
        <v>287</v>
      </c>
      <c r="B7" s="6" t="s">
        <v>202</v>
      </c>
      <c r="C7" s="2" t="s">
        <v>172</v>
      </c>
      <c r="D7" s="2" t="s">
        <v>640</v>
      </c>
      <c r="E7" s="2" t="s">
        <v>641</v>
      </c>
      <c r="F7" s="2">
        <v>5</v>
      </c>
      <c r="G7" s="2">
        <v>5</v>
      </c>
      <c r="H7" s="2" t="s">
        <v>642</v>
      </c>
      <c r="I7" s="2">
        <v>5</v>
      </c>
      <c r="J7" s="2">
        <v>5</v>
      </c>
      <c r="K7" s="7">
        <f t="shared" si="0"/>
        <v>1</v>
      </c>
      <c r="L7" s="2">
        <v>5</v>
      </c>
      <c r="M7" s="2">
        <v>5</v>
      </c>
      <c r="N7" s="7">
        <f t="shared" si="1"/>
        <v>1</v>
      </c>
      <c r="O7" s="2">
        <v>0</v>
      </c>
      <c r="P7" s="2">
        <v>1</v>
      </c>
      <c r="Q7" s="8">
        <v>21.1</v>
      </c>
      <c r="R7" s="7">
        <v>0.25</v>
      </c>
      <c r="S7" s="2">
        <v>1</v>
      </c>
      <c r="T7" s="2">
        <v>0.88400000000000001</v>
      </c>
      <c r="U7" s="2" t="s">
        <v>643</v>
      </c>
      <c r="V7" s="2" t="s">
        <v>642</v>
      </c>
      <c r="W7" s="2"/>
    </row>
    <row r="8" spans="1:23" x14ac:dyDescent="0.3">
      <c r="A8" s="2" t="s">
        <v>317</v>
      </c>
      <c r="B8" s="6" t="s">
        <v>318</v>
      </c>
      <c r="C8" s="2" t="s">
        <v>86</v>
      </c>
      <c r="D8" s="2" t="s">
        <v>640</v>
      </c>
      <c r="E8" s="2" t="s">
        <v>641</v>
      </c>
      <c r="F8" s="2">
        <v>5</v>
      </c>
      <c r="G8" s="2">
        <v>5</v>
      </c>
      <c r="H8" s="2" t="s">
        <v>642</v>
      </c>
      <c r="I8" s="2">
        <v>5</v>
      </c>
      <c r="J8" s="2">
        <v>5</v>
      </c>
      <c r="K8" s="7">
        <f t="shared" si="0"/>
        <v>1</v>
      </c>
      <c r="L8" s="2">
        <v>5</v>
      </c>
      <c r="M8" s="2">
        <v>5</v>
      </c>
      <c r="N8" s="7">
        <f t="shared" si="1"/>
        <v>1</v>
      </c>
      <c r="O8" s="2">
        <v>0</v>
      </c>
      <c r="P8" s="2">
        <v>1</v>
      </c>
      <c r="Q8" s="8">
        <v>18.899999999999999</v>
      </c>
      <c r="R8" s="7">
        <v>0.25</v>
      </c>
      <c r="S8" s="2">
        <v>1</v>
      </c>
      <c r="T8" s="2">
        <v>0.82</v>
      </c>
      <c r="U8" s="2" t="s">
        <v>643</v>
      </c>
      <c r="V8" s="2" t="s">
        <v>642</v>
      </c>
      <c r="W8" s="2"/>
    </row>
    <row r="9" spans="1:23" x14ac:dyDescent="0.3">
      <c r="A9" s="2" t="s">
        <v>361</v>
      </c>
      <c r="B9" s="6" t="s">
        <v>318</v>
      </c>
      <c r="C9" s="2" t="s">
        <v>134</v>
      </c>
      <c r="D9" s="2" t="s">
        <v>640</v>
      </c>
      <c r="E9" s="2" t="s">
        <v>641</v>
      </c>
      <c r="F9" s="2">
        <v>5</v>
      </c>
      <c r="G9" s="2">
        <v>5</v>
      </c>
      <c r="H9" s="2" t="s">
        <v>642</v>
      </c>
      <c r="I9" s="2">
        <v>5</v>
      </c>
      <c r="J9" s="2">
        <v>5</v>
      </c>
      <c r="K9" s="7">
        <f t="shared" si="0"/>
        <v>1</v>
      </c>
      <c r="L9" s="2">
        <v>5</v>
      </c>
      <c r="M9" s="2">
        <v>5</v>
      </c>
      <c r="N9" s="7">
        <f t="shared" si="1"/>
        <v>1</v>
      </c>
      <c r="O9" s="2">
        <v>0</v>
      </c>
      <c r="P9" s="2">
        <v>1</v>
      </c>
      <c r="Q9" s="8">
        <v>25.6</v>
      </c>
      <c r="R9" s="7">
        <v>0.25</v>
      </c>
      <c r="S9" s="2">
        <v>1</v>
      </c>
      <c r="T9" s="2">
        <v>0.82</v>
      </c>
      <c r="U9" s="2" t="s">
        <v>643</v>
      </c>
      <c r="V9" s="2" t="s">
        <v>642</v>
      </c>
      <c r="W9" s="2"/>
    </row>
    <row r="10" spans="1:23" x14ac:dyDescent="0.3">
      <c r="A10" s="2" t="s">
        <v>392</v>
      </c>
      <c r="B10" s="6" t="s">
        <v>318</v>
      </c>
      <c r="C10" s="2" t="s">
        <v>172</v>
      </c>
      <c r="D10" s="2" t="s">
        <v>640</v>
      </c>
      <c r="E10" s="2" t="s">
        <v>641</v>
      </c>
      <c r="F10" s="2">
        <v>5</v>
      </c>
      <c r="G10" s="2">
        <v>5</v>
      </c>
      <c r="H10" s="2" t="s">
        <v>642</v>
      </c>
      <c r="I10" s="2">
        <v>5</v>
      </c>
      <c r="J10" s="2">
        <v>5</v>
      </c>
      <c r="K10" s="7">
        <f t="shared" si="0"/>
        <v>1</v>
      </c>
      <c r="L10" s="2">
        <v>5</v>
      </c>
      <c r="M10" s="2">
        <v>5</v>
      </c>
      <c r="N10" s="7">
        <f t="shared" si="1"/>
        <v>1</v>
      </c>
      <c r="O10" s="2">
        <v>0</v>
      </c>
      <c r="P10" s="2">
        <v>1</v>
      </c>
      <c r="Q10" s="8">
        <v>33.200000000000003</v>
      </c>
      <c r="R10" s="7">
        <v>0.25</v>
      </c>
      <c r="S10" s="2">
        <v>1</v>
      </c>
      <c r="T10" s="2">
        <v>0.82</v>
      </c>
      <c r="U10" s="2" t="s">
        <v>643</v>
      </c>
      <c r="V10" s="2" t="s">
        <v>642</v>
      </c>
      <c r="W10" s="2"/>
    </row>
    <row r="11" spans="1:23" ht="28.8" x14ac:dyDescent="0.3">
      <c r="A11" s="2" t="s">
        <v>427</v>
      </c>
      <c r="B11" s="6" t="s">
        <v>428</v>
      </c>
      <c r="C11" s="2" t="s">
        <v>134</v>
      </c>
      <c r="D11" s="2" t="s">
        <v>640</v>
      </c>
      <c r="E11" s="2" t="s">
        <v>641</v>
      </c>
      <c r="F11" s="2">
        <v>5</v>
      </c>
      <c r="G11" s="2">
        <v>5</v>
      </c>
      <c r="H11" s="2" t="s">
        <v>642</v>
      </c>
      <c r="I11" s="2">
        <v>5</v>
      </c>
      <c r="J11" s="2">
        <v>5</v>
      </c>
      <c r="K11" s="7">
        <f t="shared" si="0"/>
        <v>1</v>
      </c>
      <c r="L11" s="2">
        <v>5</v>
      </c>
      <c r="M11" s="2">
        <v>5</v>
      </c>
      <c r="N11" s="7">
        <f t="shared" si="1"/>
        <v>1</v>
      </c>
      <c r="O11" s="2">
        <v>0</v>
      </c>
      <c r="P11" s="2">
        <v>1</v>
      </c>
      <c r="Q11" s="8">
        <v>20.5</v>
      </c>
      <c r="R11" s="7">
        <v>0.25</v>
      </c>
      <c r="S11" s="2">
        <v>1</v>
      </c>
      <c r="T11" s="2">
        <v>0.79700000000000004</v>
      </c>
      <c r="U11" s="2" t="s">
        <v>645</v>
      </c>
      <c r="V11" s="2" t="s">
        <v>642</v>
      </c>
      <c r="W11" s="2"/>
    </row>
    <row r="12" spans="1:23" x14ac:dyDescent="0.3">
      <c r="A12" s="2" t="s">
        <v>470</v>
      </c>
      <c r="B12" s="6" t="s">
        <v>471</v>
      </c>
      <c r="C12" s="2" t="s">
        <v>86</v>
      </c>
      <c r="D12" s="2" t="s">
        <v>640</v>
      </c>
      <c r="E12" s="2" t="s">
        <v>641</v>
      </c>
      <c r="F12" s="2">
        <v>5</v>
      </c>
      <c r="G12" s="2">
        <v>5</v>
      </c>
      <c r="H12" s="2" t="s">
        <v>642</v>
      </c>
      <c r="I12" s="2">
        <v>5</v>
      </c>
      <c r="J12" s="2">
        <v>5</v>
      </c>
      <c r="K12" s="7">
        <f t="shared" si="0"/>
        <v>1</v>
      </c>
      <c r="L12" s="2">
        <v>5</v>
      </c>
      <c r="M12" s="2">
        <v>5</v>
      </c>
      <c r="N12" s="7">
        <f t="shared" si="1"/>
        <v>1</v>
      </c>
      <c r="O12" s="2">
        <v>0</v>
      </c>
      <c r="P12" s="2">
        <v>1</v>
      </c>
      <c r="Q12" s="8">
        <v>15.3</v>
      </c>
      <c r="R12" s="7">
        <v>0.25</v>
      </c>
      <c r="S12" s="2">
        <v>1</v>
      </c>
      <c r="T12" s="2">
        <v>0.84099999999999997</v>
      </c>
      <c r="U12" s="2" t="s">
        <v>643</v>
      </c>
      <c r="V12" s="2" t="s">
        <v>642</v>
      </c>
      <c r="W12" s="2"/>
    </row>
    <row r="13" spans="1:23" x14ac:dyDescent="0.3">
      <c r="A13" s="2" t="s">
        <v>514</v>
      </c>
      <c r="B13" s="6" t="s">
        <v>471</v>
      </c>
      <c r="C13" s="2" t="s">
        <v>134</v>
      </c>
      <c r="D13" s="2" t="s">
        <v>640</v>
      </c>
      <c r="E13" s="2" t="s">
        <v>641</v>
      </c>
      <c r="F13" s="2">
        <v>5</v>
      </c>
      <c r="G13" s="2">
        <v>5</v>
      </c>
      <c r="H13" s="2" t="s">
        <v>642</v>
      </c>
      <c r="I13" s="2">
        <v>5</v>
      </c>
      <c r="J13" s="2">
        <v>5</v>
      </c>
      <c r="K13" s="7">
        <f t="shared" si="0"/>
        <v>1</v>
      </c>
      <c r="L13" s="2">
        <v>5</v>
      </c>
      <c r="M13" s="2">
        <v>5</v>
      </c>
      <c r="N13" s="7">
        <f t="shared" si="1"/>
        <v>1</v>
      </c>
      <c r="O13" s="2">
        <v>0</v>
      </c>
      <c r="P13" s="2">
        <v>1</v>
      </c>
      <c r="Q13" s="8">
        <v>21.7</v>
      </c>
      <c r="R13" s="7">
        <v>0.25</v>
      </c>
      <c r="S13" s="2">
        <v>1</v>
      </c>
      <c r="T13" s="2">
        <v>0.84099999999999997</v>
      </c>
      <c r="U13" s="2" t="s">
        <v>643</v>
      </c>
      <c r="V13" s="2" t="s">
        <v>642</v>
      </c>
      <c r="W13" s="2"/>
    </row>
    <row r="14" spans="1:23" x14ac:dyDescent="0.3">
      <c r="A14" s="2" t="s">
        <v>551</v>
      </c>
      <c r="B14" s="6" t="s">
        <v>471</v>
      </c>
      <c r="C14" s="2" t="s">
        <v>172</v>
      </c>
      <c r="D14" s="2" t="s">
        <v>640</v>
      </c>
      <c r="E14" s="2" t="s">
        <v>641</v>
      </c>
      <c r="F14" s="2">
        <v>5</v>
      </c>
      <c r="G14" s="2">
        <v>5</v>
      </c>
      <c r="H14" s="2" t="s">
        <v>642</v>
      </c>
      <c r="I14" s="2">
        <v>5</v>
      </c>
      <c r="J14" s="2">
        <v>5</v>
      </c>
      <c r="K14" s="7">
        <f t="shared" si="0"/>
        <v>1</v>
      </c>
      <c r="L14" s="2">
        <v>5</v>
      </c>
      <c r="M14" s="2">
        <v>5</v>
      </c>
      <c r="N14" s="7">
        <f t="shared" si="1"/>
        <v>1</v>
      </c>
      <c r="O14" s="2">
        <v>0</v>
      </c>
      <c r="P14" s="2">
        <v>1</v>
      </c>
      <c r="Q14" s="8">
        <v>23.7</v>
      </c>
      <c r="R14" s="7">
        <v>0.25</v>
      </c>
      <c r="S14" s="2">
        <v>1</v>
      </c>
      <c r="T14" s="2">
        <v>0.84099999999999997</v>
      </c>
      <c r="U14" s="2" t="s">
        <v>643</v>
      </c>
      <c r="V14" s="2" t="s">
        <v>642</v>
      </c>
      <c r="W14" s="2"/>
    </row>
    <row r="15" spans="1:23" x14ac:dyDescent="0.3">
      <c r="A15" s="2" t="s">
        <v>586</v>
      </c>
      <c r="B15" s="6" t="s">
        <v>587</v>
      </c>
      <c r="C15" s="2" t="s">
        <v>172</v>
      </c>
      <c r="D15" s="2" t="s">
        <v>640</v>
      </c>
      <c r="E15" s="2" t="s">
        <v>641</v>
      </c>
      <c r="F15" s="2">
        <v>5</v>
      </c>
      <c r="G15" s="2">
        <v>5</v>
      </c>
      <c r="H15" s="2" t="s">
        <v>642</v>
      </c>
      <c r="I15" s="2">
        <v>10</v>
      </c>
      <c r="J15" s="2">
        <v>5</v>
      </c>
      <c r="K15" s="7">
        <f t="shared" si="0"/>
        <v>0.5</v>
      </c>
      <c r="L15" s="2">
        <v>5</v>
      </c>
      <c r="M15" s="2">
        <v>5</v>
      </c>
      <c r="N15" s="7">
        <f t="shared" si="1"/>
        <v>1</v>
      </c>
      <c r="O15" s="2">
        <v>0</v>
      </c>
      <c r="P15" s="2">
        <v>4</v>
      </c>
      <c r="Q15" s="8">
        <v>47.3</v>
      </c>
      <c r="R15" s="7">
        <v>0.25</v>
      </c>
      <c r="S15" s="2">
        <v>1</v>
      </c>
      <c r="T15" s="2">
        <v>0.77900000000000003</v>
      </c>
      <c r="U15" s="2" t="s">
        <v>643</v>
      </c>
      <c r="V15" s="2" t="s">
        <v>642</v>
      </c>
      <c r="W15" s="2"/>
    </row>
    <row r="16" spans="1:23" ht="28.8" x14ac:dyDescent="0.3">
      <c r="A16" s="2" t="s">
        <v>646</v>
      </c>
      <c r="B16" s="6" t="s">
        <v>647</v>
      </c>
      <c r="C16" s="2" t="s">
        <v>86</v>
      </c>
      <c r="D16" s="2" t="s">
        <v>648</v>
      </c>
      <c r="E16" s="2" t="s">
        <v>649</v>
      </c>
      <c r="F16" s="2">
        <v>5</v>
      </c>
      <c r="G16" s="2">
        <v>0</v>
      </c>
      <c r="H16" s="2" t="s">
        <v>650</v>
      </c>
      <c r="I16" s="2">
        <v>0</v>
      </c>
      <c r="J16" s="2">
        <v>0</v>
      </c>
      <c r="K16" s="7" t="str">
        <f t="shared" si="0"/>
        <v/>
      </c>
      <c r="L16" s="2">
        <v>0</v>
      </c>
      <c r="M16" s="2">
        <v>0</v>
      </c>
      <c r="N16" s="7" t="str">
        <f t="shared" si="1"/>
        <v/>
      </c>
      <c r="O16" s="2">
        <v>0</v>
      </c>
      <c r="P16" s="2"/>
      <c r="Q16" s="8">
        <v>0</v>
      </c>
      <c r="R16" s="7"/>
      <c r="S16" s="2">
        <v>0</v>
      </c>
      <c r="T16" s="2"/>
      <c r="U16" s="2" t="s">
        <v>651</v>
      </c>
      <c r="V16" s="2" t="s">
        <v>642</v>
      </c>
      <c r="W16" s="2" t="s">
        <v>652</v>
      </c>
    </row>
  </sheetData>
  <autoFilter ref="A1:W16" xr:uid="{00000000-0009-0000-0000-000002000000}"/>
  <conditionalFormatting sqref="H2:H500 V2:V500">
    <cfRule type="cellIs" dxfId="1" priority="1" operator="equal">
      <formula>"Y"</formula>
    </cfRule>
    <cfRule type="cellIs" dxfId="0" priority="2" operator="equal">
      <formula>"N"</formula>
    </cfRule>
  </conditionalFormatting>
  <pageMargins left="0.5" right="0.5"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Results</vt:lpstr>
      <vt:lpstr>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Sahana desai</cp:lastModifiedBy>
  <dcterms:modified xsi:type="dcterms:W3CDTF">2026-09-11T23:16:04Z</dcterms:modified>
</cp:coreProperties>
</file>